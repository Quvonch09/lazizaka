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ik1007\Desktop\"/>
    </mc:Choice>
  </mc:AlternateContent>
  <bookViews>
    <workbookView xWindow="0" yWindow="0" windowWidth="15330" windowHeight="7215"/>
  </bookViews>
  <sheets>
    <sheet name="To'lovlar" sheetId="1" r:id="rId1"/>
    <sheet name="O'qituvchilar Oyligi" sheetId="2" r:id="rId2"/>
    <sheet name="Markaz Xarajatlari" sheetId="3" r:id="rId3"/>
    <sheet name="Founder Xarajatlari" sheetId="4" r:id="rId4"/>
    <sheet name="Moliya Xulosasi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4" i="1" l="1"/>
  <c r="F153" i="1"/>
  <c r="F152" i="1"/>
  <c r="F151" i="1"/>
  <c r="F150" i="1"/>
  <c r="F149" i="1"/>
  <c r="F148" i="1"/>
  <c r="F147" i="1"/>
  <c r="F146" i="1"/>
  <c r="F145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C4" i="5"/>
  <c r="C5" i="5"/>
  <c r="C3" i="5"/>
  <c r="C2" i="5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I10" i="2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3" i="2" l="1"/>
  <c r="I4" i="2"/>
  <c r="I5" i="2"/>
  <c r="I6" i="2"/>
  <c r="I7" i="2"/>
  <c r="I8" i="2"/>
  <c r="I9" i="2"/>
  <c r="I11" i="2"/>
  <c r="I12" i="2"/>
  <c r="I13" i="2"/>
  <c r="I14" i="2"/>
  <c r="I15" i="2"/>
  <c r="I16" i="2"/>
  <c r="I17" i="2"/>
  <c r="I18" i="2"/>
  <c r="I19" i="2"/>
  <c r="I20" i="2"/>
  <c r="I2" i="2" l="1"/>
  <c r="I2" i="1"/>
  <c r="C7" i="5" l="1"/>
  <c r="C8" i="5" s="1"/>
</calcChain>
</file>

<file path=xl/sharedStrings.xml><?xml version="1.0" encoding="utf-8"?>
<sst xmlns="http://schemas.openxmlformats.org/spreadsheetml/2006/main" count="581" uniqueCount="347">
  <si>
    <t>№</t>
  </si>
  <si>
    <t>O'quvchi I.F.O</t>
  </si>
  <si>
    <t>Telefon (Oila)</t>
  </si>
  <si>
    <t>Telefon (O'ziniki)</t>
  </si>
  <si>
    <t>Guruh</t>
  </si>
  <si>
    <t>Oylik To'lov</t>
  </si>
  <si>
    <t>Naqd</t>
  </si>
  <si>
    <t>Click / Karta</t>
  </si>
  <si>
    <t>Qoldiq (Qarz)</t>
  </si>
  <si>
    <t>To'lov Sanasi</t>
  </si>
  <si>
    <t>Izoh</t>
  </si>
  <si>
    <t>+998901234567</t>
  </si>
  <si>
    <t>+998991234567</t>
  </si>
  <si>
    <t>+998935554433</t>
  </si>
  <si>
    <t>+998947778899</t>
  </si>
  <si>
    <t>+998912223344</t>
  </si>
  <si>
    <t>+998971112233</t>
  </si>
  <si>
    <t>+998908889900</t>
  </si>
  <si>
    <t>+998933334455</t>
  </si>
  <si>
    <t>+998941113355</t>
  </si>
  <si>
    <t>+998909998877</t>
  </si>
  <si>
    <t>Xodim F.I.O</t>
  </si>
  <si>
    <t>Lavozim / Yo'nalish</t>
  </si>
  <si>
    <t>Asosiy Oylik (Stavka)</t>
  </si>
  <si>
    <t>Ulush / Foiz (%)</t>
  </si>
  <si>
    <t>Berilgan Avans</t>
  </si>
  <si>
    <t>Oldingi Oydan Qarz</t>
  </si>
  <si>
    <t>Oshxona (Tushlik)</t>
  </si>
  <si>
    <t>Qo'lga Tegadigan Jami</t>
  </si>
  <si>
    <t>To'langan Sana</t>
  </si>
  <si>
    <t>Administrator</t>
  </si>
  <si>
    <t>Sana</t>
  </si>
  <si>
    <t>Xarajat Kategoriyasi</t>
  </si>
  <si>
    <t>Izoh / Nima Uchun</t>
  </si>
  <si>
    <t>Summa</t>
  </si>
  <si>
    <t>To'lov Turi</t>
  </si>
  <si>
    <t>Click</t>
  </si>
  <si>
    <t>Ta'sischi Ismi</t>
  </si>
  <si>
    <t>Xarajat Maqsadi</t>
  </si>
  <si>
    <t>Izoh / Tafsilot</t>
  </si>
  <si>
    <t>Founder xarajatlariga</t>
  </si>
  <si>
    <t>Korsatkich / Bolim</t>
  </si>
  <si>
    <t>Formula / Hisob-kitob</t>
  </si>
  <si>
    <t>1. JAMI KIRIM (O'quvchilar To'lovlari)</t>
  </si>
  <si>
    <t>='To'lovlar'!G2:H6 yig'indisi</t>
  </si>
  <si>
    <t>2. JAMI O'QITUVCHILAR OYLIGI</t>
  </si>
  <si>
    <t>='O'qituvchilar Oyligi'!I2:I1000</t>
  </si>
  <si>
    <t>3. JAMI MARKAZ OPERATSION XARAJATLARI</t>
  </si>
  <si>
    <t>='Markaz Xarajatlari'!F2:F1000</t>
  </si>
  <si>
    <t>4. JAMI FOUNDER XARAJATLARI</t>
  </si>
  <si>
    <t>='Founder Xarajatlari'!F2:F1000</t>
  </si>
  <si>
    <t>----------------------------------------</t>
  </si>
  <si>
    <t>------------------------------</t>
  </si>
  <si>
    <t>---------------------</t>
  </si>
  <si>
    <t>5. JAMI XARAJATLAR (CHIQIM)</t>
  </si>
  <si>
    <t>=2 + 3 + 4</t>
  </si>
  <si>
    <t>6. SOF FOYDA (NET PROFIT)</t>
  </si>
  <si>
    <t>=1 - 5</t>
  </si>
  <si>
    <t>Rustamova Jasmina</t>
  </si>
  <si>
    <t>Panjiyev Zafar</t>
  </si>
  <si>
    <t>Ahadov Imkon</t>
  </si>
  <si>
    <t>Ismoilov Ulug'bek</t>
  </si>
  <si>
    <t>Pardayev Javohir</t>
  </si>
  <si>
    <t>Shamsiddinova Sevinch</t>
  </si>
  <si>
    <t>Qahhorov Davlat</t>
  </si>
  <si>
    <t>Gulmurodov Firdavsbek</t>
  </si>
  <si>
    <t>Choriyev Ansor</t>
  </si>
  <si>
    <t>Ibragimov Quvonchbek</t>
  </si>
  <si>
    <t>Meyliyev Dilbek</t>
  </si>
  <si>
    <t>Tursunov Diyorbek</t>
  </si>
  <si>
    <t>Rahimov Rustam</t>
  </si>
  <si>
    <t>Mahmadaliyev Behruz</t>
  </si>
  <si>
    <t>G'ulomov Abdulloh</t>
  </si>
  <si>
    <t>Izzatillayeva Asal</t>
  </si>
  <si>
    <t>Sag'diyeva Farangiz</t>
  </si>
  <si>
    <t>Ibragimov Abdusabur</t>
  </si>
  <si>
    <t>Ehsonov Artur</t>
  </si>
  <si>
    <t>Roziqov Hasan</t>
  </si>
  <si>
    <t>Quziyev Quvonchbek</t>
  </si>
  <si>
    <t>Xolmirzayev Salohiddin</t>
  </si>
  <si>
    <t>Tursunqulova Zahro</t>
  </si>
  <si>
    <t>Bahromov Humoyun</t>
  </si>
  <si>
    <t>Bobomurodov Asadbek</t>
  </si>
  <si>
    <t>Timinov Amal</t>
  </si>
  <si>
    <t>Nortojiyev Shamshod</t>
  </si>
  <si>
    <t>Samadov Nurbek</t>
  </si>
  <si>
    <t>Baxtiyorov Diyorbek</t>
  </si>
  <si>
    <t>Erkinov Alibek</t>
  </si>
  <si>
    <t>Beknazarov Sohibjon</t>
  </si>
  <si>
    <t>Olimjonov Nurjahon</t>
  </si>
  <si>
    <t>Abdurahimov Behruz</t>
  </si>
  <si>
    <t>Choriyev Ozodbek</t>
  </si>
  <si>
    <t>Ergashev Alibek</t>
  </si>
  <si>
    <t>Turayev Bekzod</t>
  </si>
  <si>
    <t>Uralova Malika</t>
  </si>
  <si>
    <t>Hamidov Sunnat</t>
  </si>
  <si>
    <t>Qahramonov Ahmad</t>
  </si>
  <si>
    <t>Ahmadov Temur</t>
  </si>
  <si>
    <t>13,07,26</t>
  </si>
  <si>
    <t>Abdurahmonov Daler</t>
  </si>
  <si>
    <t>Najmiddinov Baxtiyor</t>
  </si>
  <si>
    <t>Inodullayev Sardor</t>
  </si>
  <si>
    <t>Muhammadjonova Munisa</t>
  </si>
  <si>
    <t>Elnur Turdiyev</t>
  </si>
  <si>
    <t xml:space="preserve">Temurbek Narzullaev </t>
  </si>
  <si>
    <t xml:space="preserve">Ismat Ismoilov </t>
  </si>
  <si>
    <t>Quvonchbek Bobomurodob</t>
  </si>
  <si>
    <t xml:space="preserve">Muhammad Nazirqulov </t>
  </si>
  <si>
    <t>Otabek Nabiyev</t>
  </si>
  <si>
    <t>Sardorbek Abduraxmonov</t>
  </si>
  <si>
    <t xml:space="preserve">Zarina Chorshanbiyeva </t>
  </si>
  <si>
    <t>Umidjon Sobirov</t>
  </si>
  <si>
    <t xml:space="preserve">Jasmina Jo`raeva </t>
  </si>
  <si>
    <t xml:space="preserve">Baxora Omonova </t>
  </si>
  <si>
    <t xml:space="preserve">Anjella G`aniyeva </t>
  </si>
  <si>
    <t>Lazizjon Abdullayev</t>
  </si>
  <si>
    <t>Jaxongir Dilmurodov</t>
  </si>
  <si>
    <t>Direktor</t>
  </si>
  <si>
    <t xml:space="preserve">Sotuvchi </t>
  </si>
  <si>
    <t>SMM chi</t>
  </si>
  <si>
    <t>Videograf</t>
  </si>
  <si>
    <t>Farrosh</t>
  </si>
  <si>
    <t>Uchenik Administrator</t>
  </si>
  <si>
    <t>Moliyachi</t>
  </si>
  <si>
    <t>Frontent, O`qituvchi</t>
  </si>
  <si>
    <t>Java Bekent, O`qituvchi</t>
  </si>
  <si>
    <t>AI, O`qituvchi</t>
  </si>
  <si>
    <t>Python Bekent, O`qituvchi</t>
  </si>
  <si>
    <t xml:space="preserve">Shahrixon Raxmatullayev </t>
  </si>
  <si>
    <t>Javoxir Qo`ziboyev</t>
  </si>
  <si>
    <t>Arenda</t>
  </si>
  <si>
    <t xml:space="preserve">Targetga </t>
  </si>
  <si>
    <t>Suvga</t>
  </si>
  <si>
    <t>Markaz xarajati</t>
  </si>
  <si>
    <t xml:space="preserve">Bexruz Rashidov </t>
  </si>
  <si>
    <t>Pol latta va xar xil sredstvalarga</t>
  </si>
  <si>
    <t xml:space="preserve">Post taxlab berdi </t>
  </si>
  <si>
    <t>oldingi oy uchun</t>
  </si>
  <si>
    <t>shu oy uchun</t>
  </si>
  <si>
    <t>keyingi oy uchun</t>
  </si>
  <si>
    <t>Rajabov Diyorbek</t>
  </si>
  <si>
    <t>Ro'ziqulov Ulug'bek</t>
  </si>
  <si>
    <t>Samadiy Abdulmatin</t>
  </si>
  <si>
    <t xml:space="preserve">Olimjonov Sherzod </t>
  </si>
  <si>
    <t xml:space="preserve">Holboyeva Sevinch </t>
  </si>
  <si>
    <t>Xolbo'tayev Muhammadali</t>
  </si>
  <si>
    <t>Qurbonov Ravshan</t>
  </si>
  <si>
    <t>Ro'zimurodov Shoxjahon</t>
  </si>
  <si>
    <t>Muhtorov Saidbek</t>
  </si>
  <si>
    <t>Hursanov Abdulloh</t>
  </si>
  <si>
    <t>Farxodov Shaxriyor</t>
  </si>
  <si>
    <t>Berdimamatov kamoliddin</t>
  </si>
  <si>
    <t xml:space="preserve">Pardabayev Sherxan </t>
  </si>
  <si>
    <t>Ismoilov Ruslan</t>
  </si>
  <si>
    <t>Ahmadov Abdulloh</t>
  </si>
  <si>
    <t>ikromov Aziz</t>
  </si>
  <si>
    <t>hamdamov Alibek</t>
  </si>
  <si>
    <t>Abdugafurov Firdavsbek</t>
  </si>
  <si>
    <t xml:space="preserve">Jo`rayev Javlon </t>
  </si>
  <si>
    <t>Odilov Alisher</t>
  </si>
  <si>
    <t>Saidnabiyev Faridbek</t>
  </si>
  <si>
    <t>Mahmadaliyeva Bahor</t>
  </si>
  <si>
    <t xml:space="preserve">Bilolbek jumanazarov </t>
  </si>
  <si>
    <t>Mamashoipov Shaxriyor</t>
  </si>
  <si>
    <t>Nasimov Islom</t>
  </si>
  <si>
    <t>Ahadov Asilbek</t>
  </si>
  <si>
    <t>Sattorov Usmon</t>
  </si>
  <si>
    <t>Axmedov Shaxboz</t>
  </si>
  <si>
    <t>Hushvaqtova Gulshoda</t>
  </si>
  <si>
    <t>Jabborova Parizoda</t>
  </si>
  <si>
    <t>Sharopov Ruslan</t>
  </si>
  <si>
    <t>Asadullayev Arslonbek</t>
  </si>
  <si>
    <t>Tirkashov Alizod</t>
  </si>
  <si>
    <t>Bahromov hasan</t>
  </si>
  <si>
    <t>Bahromov husan</t>
  </si>
  <si>
    <t>Murodov Muxammadamin</t>
  </si>
  <si>
    <t>Bekmurodova Charos</t>
  </si>
  <si>
    <t>Saidiqbolova  Nazokat</t>
  </si>
  <si>
    <t>Ziyodullayev Azizek</t>
  </si>
  <si>
    <t>Omonov Asilbek</t>
  </si>
  <si>
    <t xml:space="preserve">Abdurahmonova Marjona </t>
  </si>
  <si>
    <t>Abdurahmonova Maftuna</t>
  </si>
  <si>
    <t>Qarshiyev odilbek</t>
  </si>
  <si>
    <t>SamadiyAbdulbosit</t>
  </si>
  <si>
    <t>Rahmonov Ozodbek</t>
  </si>
  <si>
    <t>Fayzullayev Hushnud</t>
  </si>
  <si>
    <t>Sirojov Farruh</t>
  </si>
  <si>
    <t xml:space="preserve">Umidjon Shahobiddinov </t>
  </si>
  <si>
    <t>farmonov Dilshod</t>
  </si>
  <si>
    <t>Serobov Dadajon</t>
  </si>
  <si>
    <t>Kamolov Asilbek</t>
  </si>
  <si>
    <t>Saimov Jurat</t>
  </si>
  <si>
    <t xml:space="preserve">Botirov Samandar </t>
  </si>
  <si>
    <t>Mamedov Akrom</t>
  </si>
  <si>
    <t>Tursunov Murod</t>
  </si>
  <si>
    <t>xolmamatov jaloliddin</t>
  </si>
  <si>
    <t>abdurazzoqov Tohir</t>
  </si>
  <si>
    <t>Toirov Abuzar</t>
  </si>
  <si>
    <t>olomjonov mehriddin</t>
  </si>
  <si>
    <t>Tohirov Server</t>
  </si>
  <si>
    <t>Shodiyev Kamolbek</t>
  </si>
  <si>
    <t>Saydullayev Asilbek</t>
  </si>
  <si>
    <t>Mumtozova Nilifar</t>
  </si>
  <si>
    <t>Normamatov Abdulaziz</t>
  </si>
  <si>
    <t>Raimov Elnazar</t>
  </si>
  <si>
    <t>Ahmedova Zarifa</t>
  </si>
  <si>
    <t>Mnequlova Madina</t>
  </si>
  <si>
    <t>Farhodov Farruh</t>
  </si>
  <si>
    <t xml:space="preserve"> Menequlov bilolbek</t>
  </si>
  <si>
    <t>Roziqov Temur</t>
  </si>
  <si>
    <t>Saydullayeva Ezoza</t>
  </si>
  <si>
    <t>Nizomiddinov Firadvs</t>
  </si>
  <si>
    <t>Otabekov Alibek</t>
  </si>
  <si>
    <t>Qulmrurodov Firdavsbek</t>
  </si>
  <si>
    <t>Qurbonova Jasmina</t>
  </si>
  <si>
    <t>Alimardonov  jafar</t>
  </si>
  <si>
    <t>isayev Muhammadamin</t>
  </si>
  <si>
    <t>safarova Mohinur</t>
  </si>
  <si>
    <t>Bahromov Aziz</t>
  </si>
  <si>
    <t>To'ychiyev Doston</t>
  </si>
  <si>
    <t>Tolibjonov Xurshid</t>
  </si>
  <si>
    <t>Sirojova Fayoza</t>
  </si>
  <si>
    <t>Nuriddinov Bekod</t>
  </si>
  <si>
    <t>Abdushukurov Akrom</t>
  </si>
  <si>
    <t>Zoirov Azizbek</t>
  </si>
  <si>
    <t>python-8</t>
  </si>
  <si>
    <t>fullstack-3</t>
  </si>
  <si>
    <t>java-9</t>
  </si>
  <si>
    <t>fullstack-2</t>
  </si>
  <si>
    <t>foundation-76</t>
  </si>
  <si>
    <t>Java 7</t>
  </si>
  <si>
    <t>java-06</t>
  </si>
  <si>
    <t>foundation-78</t>
  </si>
  <si>
    <t>python-7</t>
  </si>
  <si>
    <t>AI-1</t>
  </si>
  <si>
    <t>foundation-79</t>
  </si>
  <si>
    <t>foundation82</t>
  </si>
  <si>
    <t>foundation-81</t>
  </si>
  <si>
    <t>AI-2</t>
  </si>
  <si>
    <t>foundation-80</t>
  </si>
  <si>
    <t>16,07,26</t>
  </si>
  <si>
    <t>11,07,26</t>
  </si>
  <si>
    <t>10,07,26</t>
  </si>
  <si>
    <t>17,07,26</t>
  </si>
  <si>
    <t>15,07,26</t>
  </si>
  <si>
    <t>22,07,26</t>
  </si>
  <si>
    <t>26,07,26</t>
  </si>
  <si>
    <t>14,07,26</t>
  </si>
  <si>
    <t>21,07,26</t>
  </si>
  <si>
    <t>20,07,26</t>
  </si>
  <si>
    <t>29,07,26</t>
  </si>
  <si>
    <t>05,08,26</t>
  </si>
  <si>
    <t>06,08,26</t>
  </si>
  <si>
    <t>24,07,26</t>
  </si>
  <si>
    <t>25,07,26</t>
  </si>
  <si>
    <t>28,07,26</t>
  </si>
  <si>
    <t>27,07,26</t>
  </si>
  <si>
    <t>18,07,26</t>
  </si>
  <si>
    <t>23,07,26</t>
  </si>
  <si>
    <t>26,06,26</t>
  </si>
  <si>
    <t>09,07,26</t>
  </si>
  <si>
    <t>12,07,26</t>
  </si>
  <si>
    <t>31,07,26</t>
  </si>
  <si>
    <t>Targetolog Abdulloh</t>
  </si>
  <si>
    <t>Targetolog</t>
  </si>
  <si>
    <t>Kuller suviga 6*10</t>
  </si>
  <si>
    <t xml:space="preserve">1% aylanmaga </t>
  </si>
  <si>
    <t>1% aylanmaga  soliqlari bilan to`ladik</t>
  </si>
  <si>
    <t>targetga to`ladik Elnurga berdim</t>
  </si>
  <si>
    <t>Bitiruvchilarga qilingan xarajatlar</t>
  </si>
  <si>
    <t>Targetga 60$ qarz bor ekan shunga</t>
  </si>
  <si>
    <t xml:space="preserve">Baxora opaga </t>
  </si>
  <si>
    <t xml:space="preserve">oqava suvga </t>
  </si>
  <si>
    <t>Iyulni 08.07.26 gacha qarzlari to`landi</t>
  </si>
  <si>
    <t>o`chib qolmasligi uchun oldindan</t>
  </si>
  <si>
    <t xml:space="preserve">svetga </t>
  </si>
  <si>
    <t>Svet o`chib qolgandi shunga to`lov qil</t>
  </si>
  <si>
    <t>Pateriya puli</t>
  </si>
  <si>
    <t>Akmal tog`aga pateriya puli</t>
  </si>
  <si>
    <t>13,07,2026</t>
  </si>
  <si>
    <t>reklamma to`xtab qolmasligi uchun</t>
  </si>
  <si>
    <t>Svetga to`ladim O`chib qoldi yana</t>
  </si>
  <si>
    <t>Kuller</t>
  </si>
  <si>
    <t>Ichimlik Suviga 2*10</t>
  </si>
  <si>
    <t>Markaz arendasiga1000$</t>
  </si>
  <si>
    <t xml:space="preserve">Reklamaga </t>
  </si>
  <si>
    <t xml:space="preserve">telegramga reklamma qo`ydik </t>
  </si>
  <si>
    <t xml:space="preserve">konditsioner </t>
  </si>
  <si>
    <t xml:space="preserve">konditsioner yuvdirdik </t>
  </si>
  <si>
    <t xml:space="preserve">Markazga </t>
  </si>
  <si>
    <t xml:space="preserve">O`quv qurollariga va boshqalarga </t>
  </si>
  <si>
    <t>Ichimlik Suviga 7*10</t>
  </si>
  <si>
    <t>Elektirikkka</t>
  </si>
  <si>
    <t xml:space="preserve">Konditsoner kuymasligi uchun  avftomatni </t>
  </si>
  <si>
    <t>targetga 142$ tashadik</t>
  </si>
  <si>
    <t xml:space="preserve">Cvetga </t>
  </si>
  <si>
    <t xml:space="preserve">svetimiz o`chib qoldi shunga </t>
  </si>
  <si>
    <t>Qaytarilgan pul</t>
  </si>
  <si>
    <t xml:space="preserve">May oyi  uchunfan tugatilganiga </t>
  </si>
  <si>
    <t>25,07,2026</t>
  </si>
  <si>
    <t xml:space="preserve">TARGETGA </t>
  </si>
  <si>
    <t>elnur tashadi 140$</t>
  </si>
  <si>
    <t>yangi kullerga</t>
  </si>
  <si>
    <t>ichimlik suviga puli berilmadi 2*10</t>
  </si>
  <si>
    <t>27,07,2026</t>
  </si>
  <si>
    <t xml:space="preserve">Svetga </t>
  </si>
  <si>
    <t xml:space="preserve">to`lov qilindi </t>
  </si>
  <si>
    <t>Adashib ko`p tashlavorgan shunga</t>
  </si>
  <si>
    <t>28,07,2026</t>
  </si>
  <si>
    <t>bugun to`liq qarzlarni uzdik 091179.96</t>
  </si>
  <si>
    <t>Toshkentga ko`chib ketishdi shunga</t>
  </si>
  <si>
    <t>29,07,2026</t>
  </si>
  <si>
    <t>Oldindan to`lov qildim</t>
  </si>
  <si>
    <t>30,07,2026</t>
  </si>
  <si>
    <t xml:space="preserve">targetga   </t>
  </si>
  <si>
    <t>30,07,26</t>
  </si>
  <si>
    <t>internetga</t>
  </si>
  <si>
    <t>3milionga internet ulatdik</t>
  </si>
  <si>
    <t>Sardor Sayfulloyev</t>
  </si>
  <si>
    <t>qarz sifatiga tashab berdim</t>
  </si>
  <si>
    <t xml:space="preserve">Elnur tashagan ekan berdim </t>
  </si>
  <si>
    <t>Markazga kelib ketganligiga  tadbir uchun</t>
  </si>
  <si>
    <t xml:space="preserve">May oyligini berdik xisoblab </t>
  </si>
  <si>
    <t>kechga qaytaraman deb oldi</t>
  </si>
  <si>
    <t>Chiqib ketgan O`quvchilar</t>
  </si>
  <si>
    <t>Husanov akmal</t>
  </si>
  <si>
    <t>Mamatov anvar</t>
  </si>
  <si>
    <t>Erkinov azamat</t>
  </si>
  <si>
    <t>Sodiqova Kamila</t>
  </si>
  <si>
    <t>Abduazimov bekzod</t>
  </si>
  <si>
    <t>java-05</t>
  </si>
  <si>
    <t xml:space="preserve">ozodbek suvonov </t>
  </si>
  <si>
    <t>Ro'zmatov Jasur</t>
  </si>
  <si>
    <t>Boymurodov Dilshod</t>
  </si>
  <si>
    <t>Shamsiyev Asilbek</t>
  </si>
  <si>
    <t>Juliyev Shoxjahon</t>
  </si>
  <si>
    <t>Narzullayev Shahriyor</t>
  </si>
  <si>
    <t>Bo'riyev Asilbek</t>
  </si>
  <si>
    <t>Zoirov Doniyor</t>
  </si>
  <si>
    <t>Gafurov Sunnat</t>
  </si>
  <si>
    <t>Zulfiyev Sarvar</t>
  </si>
  <si>
    <t>G'afurov Sunnat</t>
  </si>
  <si>
    <t>Toshturdiyev Abdumalik</t>
  </si>
  <si>
    <t>Temurbek</t>
  </si>
  <si>
    <t>FaxriddinovAlyoqub</t>
  </si>
  <si>
    <t>Nematov Elbek</t>
  </si>
  <si>
    <t>Ravshanov Jonibek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</si>
</sst>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.00_ ;_ * \-#,##0.00_ ;_ * &quot;-&quot;??_ ;_ @_ "/>
    <numFmt numFmtId="165" formatCode="#,##0\ &quot;so'm&quot;"/>
    <numFmt numFmtId="166" formatCode="_-* #,##0.000\ _₽_-;\-* #,##0.000\ _₽_-;_-* &quot;-&quot;???\ _₽_-;_-@_-"/>
    <numFmt numFmtId="167" formatCode="#,##0.000\ &quot;so'm&quot;"/>
    <numFmt numFmtId="168" formatCode="_ * #,##0.000_ ;_ * \-#,##0.000_ ;_ * &quot;-&quot;??_ ;_ @_ "/>
    <numFmt numFmtId="169" formatCode="_-* #,##0.000\ _₽_-;\-* #,##0.000\ _₽_-;_-* &quot;-&quot;??\ _₽_-;_-@_-"/>
    <numFmt numFmtId="170" formatCode="dd\.mm\.yy;@"/>
    <numFmt numFmtId="171" formatCode="_-[$$-409]* #,##0_ ;_-[$$-409]* \-#,##0\ ;_-[$$-409]* &quot;-&quot;_ ;_-@_ "/>
    <numFmt numFmtId="173" formatCode="000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47857"/>
      <name val="Calibri"/>
      <charset val="134"/>
      <scheme val="minor"/>
    </font>
    <font>
      <b/>
      <sz val="11"/>
      <color rgb="FFB91C1C"/>
      <name val="Calibri"/>
      <charset val="134"/>
      <scheme val="minor"/>
    </font>
    <font>
      <b/>
      <sz val="12"/>
      <color rgb="FF15803D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1"/>
      <color rgb="FFFFFFFF"/>
      <name val="Calibri"/>
      <family val="2"/>
      <charset val="204"/>
    </font>
    <font>
      <i/>
      <sz val="14"/>
      <color theme="1"/>
      <name val="Times New Roman"/>
      <family val="1"/>
      <charset val="204"/>
    </font>
    <font>
      <sz val="10"/>
      <color theme="1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0478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10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0" fontId="0" fillId="0" borderId="1" xfId="0" applyBorder="1"/>
    <xf numFmtId="165" fontId="0" fillId="0" borderId="1" xfId="0" applyNumberFormat="1" applyBorder="1" applyAlignment="1">
      <alignment horizontal="right" vertical="center"/>
    </xf>
    <xf numFmtId="0" fontId="3" fillId="0" borderId="1" xfId="0" applyFont="1" applyBorder="1"/>
    <xf numFmtId="165" fontId="3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165" fontId="4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8" fontId="0" fillId="0" borderId="0" xfId="1" applyNumberFormat="1" applyFont="1" applyAlignment="1">
      <alignment horizontal="right" vertical="center"/>
    </xf>
    <xf numFmtId="168" fontId="5" fillId="6" borderId="15" xfId="1" applyNumberFormat="1" applyFont="1" applyFill="1" applyBorder="1" applyAlignment="1">
      <alignment horizontal="center" vertical="center"/>
    </xf>
    <xf numFmtId="167" fontId="5" fillId="6" borderId="15" xfId="0" applyNumberFormat="1" applyFont="1" applyFill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5" fillId="5" borderId="1" xfId="1" applyNumberFormat="1" applyFont="1" applyFill="1" applyBorder="1" applyAlignment="1">
      <alignment horizontal="right" vertical="center"/>
    </xf>
    <xf numFmtId="168" fontId="0" fillId="0" borderId="1" xfId="1" applyNumberFormat="1" applyFont="1" applyBorder="1" applyAlignment="1">
      <alignment horizontal="right" vertical="center"/>
    </xf>
    <xf numFmtId="9" fontId="0" fillId="0" borderId="0" xfId="2" applyFont="1" applyAlignment="1">
      <alignment horizontal="center" vertical="center"/>
    </xf>
    <xf numFmtId="168" fontId="5" fillId="5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0" xfId="0" applyAlignment="1">
      <alignment horizontal="center"/>
    </xf>
    <xf numFmtId="169" fontId="7" fillId="4" borderId="10" xfId="1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169" fontId="8" fillId="8" borderId="10" xfId="1" applyNumberFormat="1" applyFont="1" applyFill="1" applyBorder="1" applyAlignment="1">
      <alignment horizontal="center" vertical="center" wrapText="1"/>
    </xf>
    <xf numFmtId="169" fontId="8" fillId="9" borderId="10" xfId="1" applyNumberFormat="1" applyFont="1" applyFill="1" applyBorder="1" applyAlignment="1">
      <alignment horizontal="center" vertical="center" wrapText="1"/>
    </xf>
    <xf numFmtId="169" fontId="8" fillId="10" borderId="10" xfId="1" applyNumberFormat="1" applyFont="1" applyFill="1" applyBorder="1" applyAlignment="1">
      <alignment horizontal="center" vertical="center" wrapText="1"/>
    </xf>
    <xf numFmtId="169" fontId="8" fillId="11" borderId="10" xfId="1" applyNumberFormat="1" applyFont="1" applyFill="1" applyBorder="1" applyAlignment="1">
      <alignment horizontal="center" vertical="center" wrapText="1"/>
    </xf>
    <xf numFmtId="169" fontId="8" fillId="12" borderId="10" xfId="1" applyNumberFormat="1" applyFont="1" applyFill="1" applyBorder="1" applyAlignment="1">
      <alignment horizontal="center" vertical="center" wrapText="1"/>
    </xf>
    <xf numFmtId="169" fontId="8" fillId="0" borderId="10" xfId="1" applyNumberFormat="1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0" fontId="8" fillId="8" borderId="10" xfId="0" applyNumberFormat="1" applyFont="1" applyFill="1" applyBorder="1" applyAlignment="1">
      <alignment horizontal="center" vertical="center" wrapText="1"/>
    </xf>
    <xf numFmtId="170" fontId="8" fillId="9" borderId="10" xfId="0" applyNumberFormat="1" applyFont="1" applyFill="1" applyBorder="1" applyAlignment="1">
      <alignment horizontal="center" vertical="center" wrapText="1"/>
    </xf>
    <xf numFmtId="170" fontId="8" fillId="10" borderId="10" xfId="0" applyNumberFormat="1" applyFont="1" applyFill="1" applyBorder="1" applyAlignment="1">
      <alignment horizontal="center" vertical="center" wrapText="1"/>
    </xf>
    <xf numFmtId="170" fontId="8" fillId="11" borderId="10" xfId="0" applyNumberFormat="1" applyFont="1" applyFill="1" applyBorder="1" applyAlignment="1">
      <alignment horizontal="center" vertical="center" wrapText="1"/>
    </xf>
    <xf numFmtId="170" fontId="8" fillId="12" borderId="10" xfId="0" applyNumberFormat="1" applyFont="1" applyFill="1" applyBorder="1" applyAlignment="1">
      <alignment horizontal="center" vertical="center" wrapText="1"/>
    </xf>
    <xf numFmtId="170" fontId="8" fillId="0" borderId="10" xfId="0" applyNumberFormat="1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8" fillId="12" borderId="10" xfId="0" applyFont="1" applyFill="1" applyBorder="1" applyAlignment="1">
      <alignment horizontal="center" vertical="center" wrapText="1"/>
    </xf>
    <xf numFmtId="171" fontId="0" fillId="0" borderId="0" xfId="0" applyNumberFormat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6" fontId="9" fillId="0" borderId="10" xfId="0" applyNumberFormat="1" applyFont="1" applyBorder="1" applyAlignment="1">
      <alignment horizontal="center" vertical="center" wrapText="1"/>
    </xf>
    <xf numFmtId="166" fontId="9" fillId="7" borderId="13" xfId="0" applyNumberFormat="1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66" fontId="9" fillId="0" borderId="6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168" fontId="11" fillId="3" borderId="1" xfId="1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" fillId="0" borderId="1" xfId="0" applyFont="1" applyBorder="1"/>
    <xf numFmtId="14" fontId="12" fillId="0" borderId="6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8" fontId="1" fillId="0" borderId="0" xfId="1" applyNumberFormat="1" applyFont="1" applyAlignment="1">
      <alignment horizontal="right" vertical="center"/>
    </xf>
    <xf numFmtId="166" fontId="10" fillId="0" borderId="10" xfId="0" applyNumberFormat="1" applyFont="1" applyBorder="1" applyAlignment="1">
      <alignment horizontal="center" vertical="center" wrapText="1"/>
    </xf>
    <xf numFmtId="169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169" fontId="8" fillId="7" borderId="18" xfId="1" applyNumberFormat="1" applyFont="1" applyFill="1" applyBorder="1" applyAlignment="1">
      <alignment horizontal="center" vertical="center" wrapText="1"/>
    </xf>
    <xf numFmtId="173" fontId="8" fillId="0" borderId="5" xfId="0" applyNumberFormat="1" applyFont="1" applyFill="1" applyBorder="1" applyAlignment="1">
      <alignment horizontal="center" vertical="center" wrapText="1"/>
    </xf>
    <xf numFmtId="173" fontId="8" fillId="0" borderId="8" xfId="0" applyNumberFormat="1" applyFont="1" applyFill="1" applyBorder="1" applyAlignment="1">
      <alignment horizontal="center" vertical="center" wrapText="1"/>
    </xf>
    <xf numFmtId="170" fontId="8" fillId="7" borderId="18" xfId="0" applyNumberFormat="1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169" fontId="8" fillId="7" borderId="10" xfId="1" applyNumberFormat="1" applyFont="1" applyFill="1" applyBorder="1" applyAlignment="1">
      <alignment horizontal="center" vertical="center" wrapText="1"/>
    </xf>
    <xf numFmtId="173" fontId="8" fillId="0" borderId="6" xfId="0" applyNumberFormat="1" applyFont="1" applyFill="1" applyBorder="1" applyAlignment="1">
      <alignment horizontal="center" vertical="center" wrapText="1"/>
    </xf>
    <xf numFmtId="173" fontId="8" fillId="0" borderId="9" xfId="0" applyNumberFormat="1" applyFont="1" applyFill="1" applyBorder="1" applyAlignment="1">
      <alignment horizontal="center" vertical="center" wrapText="1"/>
    </xf>
    <xf numFmtId="170" fontId="8" fillId="7" borderId="10" xfId="0" applyNumberFormat="1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9" fontId="8" fillId="7" borderId="19" xfId="1" applyNumberFormat="1" applyFont="1" applyFill="1" applyBorder="1" applyAlignment="1">
      <alignment horizontal="center" vertical="center" wrapText="1"/>
    </xf>
    <xf numFmtId="173" fontId="8" fillId="0" borderId="7" xfId="0" applyNumberFormat="1" applyFont="1" applyFill="1" applyBorder="1" applyAlignment="1">
      <alignment horizontal="center" vertical="center" wrapText="1"/>
    </xf>
    <xf numFmtId="173" fontId="8" fillId="0" borderId="11" xfId="0" applyNumberFormat="1" applyFont="1" applyFill="1" applyBorder="1" applyAlignment="1">
      <alignment horizontal="center" vertical="center" wrapText="1"/>
    </xf>
    <xf numFmtId="170" fontId="8" fillId="7" borderId="19" xfId="0" applyNumberFormat="1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colors>
    <mruColors>
      <color rgb="FFD97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K162"/>
  <sheetViews>
    <sheetView tabSelected="1" topLeftCell="A128" workbookViewId="0">
      <selection activeCell="C156" sqref="C156"/>
    </sheetView>
  </sheetViews>
  <sheetFormatPr defaultColWidth="9" defaultRowHeight="15"/>
  <cols>
    <col min="1" max="1" width="6" style="15" customWidth="1"/>
    <col min="2" max="2" width="29" style="15" customWidth="1"/>
    <col min="3" max="4" width="16.42578125" style="15" customWidth="1"/>
    <col min="5" max="5" width="16" style="48" customWidth="1"/>
    <col min="6" max="8" width="11.42578125" style="27" customWidth="1"/>
    <col min="9" max="9" width="14" style="30" customWidth="1"/>
    <col min="10" max="10" width="11.42578125" style="15" customWidth="1"/>
    <col min="11" max="11" width="30" style="15" customWidth="1"/>
    <col min="12" max="16384" width="9" style="15"/>
  </cols>
  <sheetData>
    <row r="1" spans="1:11" ht="27.95" customHeight="1">
      <c r="A1" s="21" t="s">
        <v>0</v>
      </c>
      <c r="B1" s="21" t="s">
        <v>1</v>
      </c>
      <c r="C1" s="21" t="s">
        <v>2</v>
      </c>
      <c r="D1" s="21" t="s">
        <v>3</v>
      </c>
      <c r="E1" s="47" t="s">
        <v>4</v>
      </c>
      <c r="F1" s="24" t="s">
        <v>5</v>
      </c>
      <c r="G1" s="24" t="s">
        <v>6</v>
      </c>
      <c r="H1" s="24" t="s">
        <v>7</v>
      </c>
      <c r="I1" s="25" t="s">
        <v>8</v>
      </c>
      <c r="J1" s="21" t="s">
        <v>9</v>
      </c>
      <c r="K1" s="21" t="s">
        <v>10</v>
      </c>
    </row>
    <row r="2" spans="1:11">
      <c r="A2" s="22">
        <v>1</v>
      </c>
      <c r="B2" s="55" t="s">
        <v>140</v>
      </c>
      <c r="C2" s="22" t="s">
        <v>11</v>
      </c>
      <c r="D2" s="22" t="s">
        <v>12</v>
      </c>
      <c r="E2" s="55" t="s">
        <v>225</v>
      </c>
      <c r="F2" s="41">
        <v>750</v>
      </c>
      <c r="G2" s="41">
        <v>750</v>
      </c>
      <c r="H2" s="41"/>
      <c r="I2" s="26">
        <f>F2-(G2+H2)</f>
        <v>0</v>
      </c>
      <c r="J2" s="49">
        <v>46212</v>
      </c>
      <c r="K2" s="22"/>
    </row>
    <row r="3" spans="1:11">
      <c r="A3" s="22">
        <v>2</v>
      </c>
      <c r="B3" s="55" t="s">
        <v>141</v>
      </c>
      <c r="C3" s="22" t="s">
        <v>13</v>
      </c>
      <c r="D3" s="22" t="s">
        <v>14</v>
      </c>
      <c r="E3" s="55" t="s">
        <v>225</v>
      </c>
      <c r="F3" s="41">
        <v>750</v>
      </c>
      <c r="G3" s="41"/>
      <c r="H3" s="41">
        <v>750</v>
      </c>
      <c r="I3" s="26">
        <f t="shared" ref="I3:I66" si="0">F3-(G3+H3)</f>
        <v>0</v>
      </c>
      <c r="J3" s="49" t="s">
        <v>240</v>
      </c>
      <c r="K3" s="22"/>
    </row>
    <row r="4" spans="1:11">
      <c r="A4" s="22">
        <v>3</v>
      </c>
      <c r="B4" s="55" t="s">
        <v>142</v>
      </c>
      <c r="C4" s="22" t="s">
        <v>15</v>
      </c>
      <c r="D4" s="22" t="s">
        <v>16</v>
      </c>
      <c r="E4" s="55" t="s">
        <v>225</v>
      </c>
      <c r="F4" s="41">
        <v>700</v>
      </c>
      <c r="G4" s="41">
        <v>700</v>
      </c>
      <c r="H4" s="41"/>
      <c r="I4" s="26">
        <f t="shared" si="0"/>
        <v>0</v>
      </c>
      <c r="J4" s="49" t="s">
        <v>241</v>
      </c>
      <c r="K4" s="22"/>
    </row>
    <row r="5" spans="1:11">
      <c r="A5" s="22">
        <v>4</v>
      </c>
      <c r="B5" s="56" t="s">
        <v>88</v>
      </c>
      <c r="C5" s="22" t="s">
        <v>17</v>
      </c>
      <c r="D5" s="22" t="s">
        <v>18</v>
      </c>
      <c r="E5" s="56" t="s">
        <v>226</v>
      </c>
      <c r="F5" s="42">
        <v>750</v>
      </c>
      <c r="G5" s="42"/>
      <c r="H5" s="42">
        <v>750</v>
      </c>
      <c r="I5" s="26">
        <f t="shared" si="0"/>
        <v>0</v>
      </c>
      <c r="J5" s="50" t="s">
        <v>242</v>
      </c>
      <c r="K5" s="22"/>
    </row>
    <row r="6" spans="1:11">
      <c r="A6" s="22">
        <v>5</v>
      </c>
      <c r="B6" s="56" t="s">
        <v>143</v>
      </c>
      <c r="C6" s="22" t="s">
        <v>19</v>
      </c>
      <c r="D6" s="22" t="s">
        <v>20</v>
      </c>
      <c r="E6" s="56" t="s">
        <v>226</v>
      </c>
      <c r="F6" s="42">
        <v>750</v>
      </c>
      <c r="G6" s="42">
        <v>750</v>
      </c>
      <c r="H6" s="42"/>
      <c r="I6" s="26">
        <f t="shared" si="0"/>
        <v>0</v>
      </c>
      <c r="J6" s="50">
        <v>46211</v>
      </c>
      <c r="K6" s="22"/>
    </row>
    <row r="7" spans="1:11">
      <c r="A7" s="22">
        <v>6</v>
      </c>
      <c r="B7" s="56" t="s">
        <v>90</v>
      </c>
      <c r="C7" s="22"/>
      <c r="D7" s="22"/>
      <c r="E7" s="56" t="s">
        <v>226</v>
      </c>
      <c r="F7" s="42">
        <v>750</v>
      </c>
      <c r="G7" s="42"/>
      <c r="H7" s="42">
        <v>750</v>
      </c>
      <c r="I7" s="26">
        <f t="shared" si="0"/>
        <v>0</v>
      </c>
      <c r="J7" s="50" t="s">
        <v>98</v>
      </c>
      <c r="K7" s="22"/>
    </row>
    <row r="8" spans="1:11">
      <c r="A8" s="22">
        <v>7</v>
      </c>
      <c r="B8" s="56" t="s">
        <v>91</v>
      </c>
      <c r="C8" s="22"/>
      <c r="D8" s="22"/>
      <c r="E8" s="56" t="s">
        <v>226</v>
      </c>
      <c r="F8" s="42">
        <v>750</v>
      </c>
      <c r="G8" s="42">
        <v>750</v>
      </c>
      <c r="H8" s="42"/>
      <c r="I8" s="26">
        <f t="shared" si="0"/>
        <v>0</v>
      </c>
      <c r="J8" s="50" t="s">
        <v>243</v>
      </c>
      <c r="K8" s="22"/>
    </row>
    <row r="9" spans="1:11">
      <c r="A9" s="22">
        <v>8</v>
      </c>
      <c r="B9" s="56" t="s">
        <v>92</v>
      </c>
      <c r="C9" s="22"/>
      <c r="D9" s="22"/>
      <c r="E9" s="56" t="s">
        <v>226</v>
      </c>
      <c r="F9" s="42">
        <v>750</v>
      </c>
      <c r="G9" s="42">
        <v>750</v>
      </c>
      <c r="H9" s="42"/>
      <c r="I9" s="26">
        <f t="shared" si="0"/>
        <v>0</v>
      </c>
      <c r="J9" s="50" t="s">
        <v>241</v>
      </c>
      <c r="K9" s="22"/>
    </row>
    <row r="10" spans="1:11">
      <c r="A10" s="22">
        <v>9</v>
      </c>
      <c r="B10" s="56" t="s">
        <v>144</v>
      </c>
      <c r="C10" s="22"/>
      <c r="D10" s="22"/>
      <c r="E10" s="56" t="s">
        <v>226</v>
      </c>
      <c r="F10" s="42">
        <v>750</v>
      </c>
      <c r="G10" s="42">
        <v>750</v>
      </c>
      <c r="H10" s="42"/>
      <c r="I10" s="26">
        <f t="shared" si="0"/>
        <v>0</v>
      </c>
      <c r="J10" s="50" t="s">
        <v>240</v>
      </c>
      <c r="K10" s="22"/>
    </row>
    <row r="11" spans="1:11">
      <c r="A11" s="22">
        <v>10</v>
      </c>
      <c r="B11" s="56" t="s">
        <v>93</v>
      </c>
      <c r="C11" s="22"/>
      <c r="D11" s="22"/>
      <c r="E11" s="56" t="s">
        <v>226</v>
      </c>
      <c r="F11" s="42">
        <v>750</v>
      </c>
      <c r="G11" s="42">
        <v>750</v>
      </c>
      <c r="H11" s="42"/>
      <c r="I11" s="26">
        <f t="shared" si="0"/>
        <v>0</v>
      </c>
      <c r="J11" s="50">
        <v>46209</v>
      </c>
      <c r="K11" s="22"/>
    </row>
    <row r="12" spans="1:11">
      <c r="A12" s="22">
        <v>11</v>
      </c>
      <c r="B12" s="56" t="s">
        <v>94</v>
      </c>
      <c r="C12" s="22"/>
      <c r="D12" s="22"/>
      <c r="E12" s="56" t="s">
        <v>226</v>
      </c>
      <c r="F12" s="42">
        <v>750</v>
      </c>
      <c r="G12" s="42"/>
      <c r="H12" s="42">
        <v>750</v>
      </c>
      <c r="I12" s="26">
        <f t="shared" si="0"/>
        <v>0</v>
      </c>
      <c r="J12" s="50" t="s">
        <v>98</v>
      </c>
      <c r="K12" s="22"/>
    </row>
    <row r="13" spans="1:11">
      <c r="A13" s="22">
        <v>12</v>
      </c>
      <c r="B13" s="56" t="s">
        <v>145</v>
      </c>
      <c r="C13" s="22"/>
      <c r="D13" s="22"/>
      <c r="E13" s="56" t="s">
        <v>226</v>
      </c>
      <c r="F13" s="42">
        <v>700</v>
      </c>
      <c r="G13" s="42">
        <v>700</v>
      </c>
      <c r="H13" s="42"/>
      <c r="I13" s="26">
        <f t="shared" si="0"/>
        <v>0</v>
      </c>
      <c r="J13" s="50">
        <v>46209</v>
      </c>
      <c r="K13" s="22"/>
    </row>
    <row r="14" spans="1:11">
      <c r="A14" s="22">
        <v>13</v>
      </c>
      <c r="B14" s="56" t="s">
        <v>146</v>
      </c>
      <c r="C14" s="22"/>
      <c r="D14" s="22"/>
      <c r="E14" s="56" t="s">
        <v>226</v>
      </c>
      <c r="F14" s="42">
        <v>750</v>
      </c>
      <c r="G14" s="42">
        <v>500</v>
      </c>
      <c r="H14" s="42"/>
      <c r="I14" s="26">
        <f t="shared" si="0"/>
        <v>250</v>
      </c>
      <c r="J14" s="50" t="s">
        <v>98</v>
      </c>
      <c r="K14" s="82"/>
    </row>
    <row r="15" spans="1:11">
      <c r="A15" s="22">
        <v>14</v>
      </c>
      <c r="B15" s="57" t="s">
        <v>83</v>
      </c>
      <c r="C15" s="22"/>
      <c r="D15" s="22"/>
      <c r="E15" s="57" t="s">
        <v>227</v>
      </c>
      <c r="F15" s="43">
        <v>750</v>
      </c>
      <c r="G15" s="43">
        <v>750</v>
      </c>
      <c r="H15" s="43"/>
      <c r="I15" s="26">
        <f t="shared" si="0"/>
        <v>0</v>
      </c>
      <c r="J15" s="51" t="s">
        <v>244</v>
      </c>
      <c r="K15" s="22"/>
    </row>
    <row r="16" spans="1:11">
      <c r="A16" s="22">
        <v>15</v>
      </c>
      <c r="B16" s="57" t="s">
        <v>85</v>
      </c>
      <c r="C16" s="22"/>
      <c r="D16" s="22"/>
      <c r="E16" s="57" t="s">
        <v>227</v>
      </c>
      <c r="F16" s="43">
        <v>750</v>
      </c>
      <c r="G16" s="43"/>
      <c r="H16" s="43">
        <v>750</v>
      </c>
      <c r="I16" s="26">
        <f t="shared" si="0"/>
        <v>0</v>
      </c>
      <c r="J16" s="51" t="s">
        <v>243</v>
      </c>
      <c r="K16" s="22"/>
    </row>
    <row r="17" spans="1:11">
      <c r="A17" s="22">
        <v>16</v>
      </c>
      <c r="B17" s="57" t="s">
        <v>86</v>
      </c>
      <c r="C17" s="22"/>
      <c r="D17" s="22"/>
      <c r="E17" s="57" t="s">
        <v>227</v>
      </c>
      <c r="F17" s="43">
        <v>750</v>
      </c>
      <c r="G17" s="43">
        <v>725</v>
      </c>
      <c r="H17" s="43"/>
      <c r="I17" s="26">
        <f t="shared" si="0"/>
        <v>25</v>
      </c>
      <c r="J17" s="51">
        <v>46209</v>
      </c>
      <c r="K17" s="22"/>
    </row>
    <row r="18" spans="1:11">
      <c r="A18" s="22">
        <v>17</v>
      </c>
      <c r="B18" s="57" t="s">
        <v>87</v>
      </c>
      <c r="C18" s="22"/>
      <c r="D18" s="22"/>
      <c r="E18" s="57" t="s">
        <v>227</v>
      </c>
      <c r="F18" s="43">
        <v>750</v>
      </c>
      <c r="G18" s="43">
        <v>750</v>
      </c>
      <c r="H18" s="43"/>
      <c r="I18" s="26">
        <f t="shared" si="0"/>
        <v>0</v>
      </c>
      <c r="J18" s="51"/>
      <c r="K18" s="22"/>
    </row>
    <row r="19" spans="1:11">
      <c r="A19" s="22">
        <v>18</v>
      </c>
      <c r="B19" s="57" t="s">
        <v>70</v>
      </c>
      <c r="C19" s="22"/>
      <c r="D19" s="22"/>
      <c r="E19" s="57" t="s">
        <v>227</v>
      </c>
      <c r="F19" s="43">
        <v>750</v>
      </c>
      <c r="G19" s="43"/>
      <c r="H19" s="43">
        <v>750</v>
      </c>
      <c r="I19" s="26">
        <f t="shared" si="0"/>
        <v>0</v>
      </c>
      <c r="J19" s="51" t="s">
        <v>242</v>
      </c>
      <c r="K19" s="22"/>
    </row>
    <row r="20" spans="1:11">
      <c r="A20" s="22">
        <v>19</v>
      </c>
      <c r="B20" s="57" t="s">
        <v>147</v>
      </c>
      <c r="C20" s="22"/>
      <c r="D20" s="22"/>
      <c r="E20" s="57" t="s">
        <v>227</v>
      </c>
      <c r="F20" s="43">
        <v>750</v>
      </c>
      <c r="G20" s="43">
        <v>750</v>
      </c>
      <c r="H20" s="43"/>
      <c r="I20" s="26">
        <f t="shared" si="0"/>
        <v>0</v>
      </c>
      <c r="J20" s="51">
        <v>46206</v>
      </c>
      <c r="K20" s="22"/>
    </row>
    <row r="21" spans="1:11">
      <c r="A21" s="22">
        <v>20</v>
      </c>
      <c r="B21" s="57" t="s">
        <v>148</v>
      </c>
      <c r="C21" s="22"/>
      <c r="D21" s="22"/>
      <c r="E21" s="57" t="s">
        <v>227</v>
      </c>
      <c r="F21" s="43">
        <v>750</v>
      </c>
      <c r="G21" s="43">
        <v>750</v>
      </c>
      <c r="H21" s="43"/>
      <c r="I21" s="26">
        <f t="shared" si="0"/>
        <v>0</v>
      </c>
      <c r="J21" s="51" t="s">
        <v>245</v>
      </c>
      <c r="K21" s="22"/>
    </row>
    <row r="22" spans="1:11">
      <c r="A22" s="22">
        <v>21</v>
      </c>
      <c r="B22" s="57" t="s">
        <v>101</v>
      </c>
      <c r="C22" s="22"/>
      <c r="D22" s="22"/>
      <c r="E22" s="57" t="s">
        <v>227</v>
      </c>
      <c r="F22" s="43">
        <v>700</v>
      </c>
      <c r="G22" s="43"/>
      <c r="H22" s="43">
        <v>700</v>
      </c>
      <c r="I22" s="26">
        <f t="shared" si="0"/>
        <v>0</v>
      </c>
      <c r="J22" s="51" t="s">
        <v>246</v>
      </c>
      <c r="K22" s="22"/>
    </row>
    <row r="23" spans="1:11">
      <c r="A23" s="22">
        <v>22</v>
      </c>
      <c r="B23" s="57" t="s">
        <v>149</v>
      </c>
      <c r="C23" s="22"/>
      <c r="D23" s="22"/>
      <c r="E23" s="57" t="s">
        <v>227</v>
      </c>
      <c r="F23" s="43">
        <v>750</v>
      </c>
      <c r="G23" s="43">
        <v>750</v>
      </c>
      <c r="H23" s="43"/>
      <c r="I23" s="26">
        <f t="shared" si="0"/>
        <v>0</v>
      </c>
      <c r="J23" s="51">
        <v>46211</v>
      </c>
      <c r="K23" s="22"/>
    </row>
    <row r="24" spans="1:11">
      <c r="A24" s="22">
        <v>23</v>
      </c>
      <c r="B24" s="57" t="s">
        <v>150</v>
      </c>
      <c r="C24" s="22"/>
      <c r="D24" s="22"/>
      <c r="E24" s="57" t="s">
        <v>227</v>
      </c>
      <c r="F24" s="43">
        <v>750</v>
      </c>
      <c r="G24" s="43"/>
      <c r="H24" s="43">
        <v>750</v>
      </c>
      <c r="I24" s="26">
        <f t="shared" si="0"/>
        <v>0</v>
      </c>
      <c r="J24" s="51" t="s">
        <v>98</v>
      </c>
      <c r="K24" s="22"/>
    </row>
    <row r="25" spans="1:11">
      <c r="A25" s="22">
        <v>24</v>
      </c>
      <c r="B25" s="57" t="s">
        <v>58</v>
      </c>
      <c r="C25" s="22"/>
      <c r="D25" s="22"/>
      <c r="E25" s="57" t="s">
        <v>227</v>
      </c>
      <c r="F25" s="43">
        <v>525</v>
      </c>
      <c r="G25" s="43">
        <v>525</v>
      </c>
      <c r="H25" s="43"/>
      <c r="I25" s="26">
        <f t="shared" si="0"/>
        <v>0</v>
      </c>
      <c r="J25" s="51" t="s">
        <v>247</v>
      </c>
      <c r="K25" s="22"/>
    </row>
    <row r="26" spans="1:11">
      <c r="A26" s="22">
        <v>25</v>
      </c>
      <c r="B26" s="56" t="s">
        <v>151</v>
      </c>
      <c r="C26" s="22"/>
      <c r="D26" s="22"/>
      <c r="E26" s="56" t="s">
        <v>228</v>
      </c>
      <c r="F26" s="42">
        <v>600</v>
      </c>
      <c r="G26" s="42">
        <v>600</v>
      </c>
      <c r="H26" s="42"/>
      <c r="I26" s="26">
        <f t="shared" si="0"/>
        <v>0</v>
      </c>
      <c r="J26" s="50" t="s">
        <v>247</v>
      </c>
      <c r="K26" s="22"/>
    </row>
    <row r="27" spans="1:11">
      <c r="A27" s="22">
        <v>26</v>
      </c>
      <c r="B27" s="56" t="s">
        <v>66</v>
      </c>
      <c r="C27" s="22"/>
      <c r="D27" s="22"/>
      <c r="E27" s="56" t="s">
        <v>228</v>
      </c>
      <c r="F27" s="42">
        <v>248</v>
      </c>
      <c r="G27" s="42"/>
      <c r="H27" s="42"/>
      <c r="I27" s="26">
        <f t="shared" si="0"/>
        <v>248</v>
      </c>
      <c r="J27" s="50"/>
      <c r="K27" s="22"/>
    </row>
    <row r="28" spans="1:11">
      <c r="A28" s="22">
        <v>27</v>
      </c>
      <c r="B28" s="56" t="s">
        <v>67</v>
      </c>
      <c r="C28" s="22"/>
      <c r="D28" s="22"/>
      <c r="E28" s="56" t="s">
        <v>228</v>
      </c>
      <c r="F28" s="42">
        <v>750</v>
      </c>
      <c r="G28" s="42">
        <v>750</v>
      </c>
      <c r="H28" s="42"/>
      <c r="I28" s="26">
        <f t="shared" si="0"/>
        <v>0</v>
      </c>
      <c r="J28" s="50" t="s">
        <v>248</v>
      </c>
      <c r="K28" s="22"/>
    </row>
    <row r="29" spans="1:11">
      <c r="A29" s="22">
        <v>28</v>
      </c>
      <c r="B29" s="56" t="s">
        <v>68</v>
      </c>
      <c r="C29" s="22"/>
      <c r="D29" s="22"/>
      <c r="E29" s="56" t="s">
        <v>228</v>
      </c>
      <c r="F29" s="42">
        <v>750</v>
      </c>
      <c r="G29" s="42">
        <v>750</v>
      </c>
      <c r="H29" s="42"/>
      <c r="I29" s="26">
        <f t="shared" si="0"/>
        <v>0</v>
      </c>
      <c r="J29" s="50" t="s">
        <v>247</v>
      </c>
      <c r="K29" s="22"/>
    </row>
    <row r="30" spans="1:11">
      <c r="A30" s="22">
        <v>29</v>
      </c>
      <c r="B30" s="56" t="s">
        <v>152</v>
      </c>
      <c r="C30" s="22"/>
      <c r="D30" s="22"/>
      <c r="E30" s="56" t="s">
        <v>228</v>
      </c>
      <c r="F30" s="42">
        <v>600</v>
      </c>
      <c r="G30" s="42"/>
      <c r="H30" s="42">
        <v>600</v>
      </c>
      <c r="I30" s="26">
        <f t="shared" si="0"/>
        <v>0</v>
      </c>
      <c r="J30" s="50">
        <v>46210</v>
      </c>
      <c r="K30" s="22"/>
    </row>
    <row r="31" spans="1:11">
      <c r="A31" s="22">
        <v>30</v>
      </c>
      <c r="B31" s="56" t="s">
        <v>69</v>
      </c>
      <c r="C31" s="22"/>
      <c r="D31" s="22"/>
      <c r="E31" s="56" t="s">
        <v>228</v>
      </c>
      <c r="F31" s="42">
        <v>750</v>
      </c>
      <c r="G31" s="42">
        <v>750</v>
      </c>
      <c r="H31" s="42"/>
      <c r="I31" s="26">
        <f t="shared" si="0"/>
        <v>0</v>
      </c>
      <c r="J31" s="50">
        <v>46212</v>
      </c>
      <c r="K31" s="22"/>
    </row>
    <row r="32" spans="1:11">
      <c r="A32" s="22">
        <v>31</v>
      </c>
      <c r="B32" s="56" t="s">
        <v>153</v>
      </c>
      <c r="C32" s="22"/>
      <c r="D32" s="22"/>
      <c r="E32" s="56" t="s">
        <v>228</v>
      </c>
      <c r="F32" s="42">
        <v>750</v>
      </c>
      <c r="G32" s="42"/>
      <c r="H32" s="42"/>
      <c r="I32" s="26">
        <f t="shared" si="0"/>
        <v>750</v>
      </c>
      <c r="J32" s="50"/>
      <c r="K32" s="22"/>
    </row>
    <row r="33" spans="1:11">
      <c r="A33" s="22">
        <v>32</v>
      </c>
      <c r="B33" s="56" t="s">
        <v>154</v>
      </c>
      <c r="C33" s="22"/>
      <c r="D33" s="22"/>
      <c r="E33" s="56" t="s">
        <v>228</v>
      </c>
      <c r="F33" s="42">
        <v>750</v>
      </c>
      <c r="G33" s="42">
        <v>750</v>
      </c>
      <c r="H33" s="42"/>
      <c r="I33" s="26">
        <f t="shared" si="0"/>
        <v>0</v>
      </c>
      <c r="J33" s="50" t="s">
        <v>241</v>
      </c>
      <c r="K33" s="22"/>
    </row>
    <row r="34" spans="1:11">
      <c r="A34" s="22">
        <v>33</v>
      </c>
      <c r="B34" s="55" t="s">
        <v>155</v>
      </c>
      <c r="C34" s="22"/>
      <c r="D34" s="22"/>
      <c r="E34" s="55" t="s">
        <v>229</v>
      </c>
      <c r="F34" s="41">
        <v>750</v>
      </c>
      <c r="G34" s="41"/>
      <c r="H34" s="41">
        <v>750</v>
      </c>
      <c r="I34" s="26">
        <f t="shared" si="0"/>
        <v>0</v>
      </c>
      <c r="J34" s="49" t="s">
        <v>245</v>
      </c>
      <c r="K34" s="22"/>
    </row>
    <row r="35" spans="1:11">
      <c r="A35" s="22">
        <v>34</v>
      </c>
      <c r="B35" s="55" t="s">
        <v>76</v>
      </c>
      <c r="C35" s="22"/>
      <c r="D35" s="22"/>
      <c r="E35" s="55" t="s">
        <v>229</v>
      </c>
      <c r="F35" s="41">
        <v>588</v>
      </c>
      <c r="G35" s="41"/>
      <c r="H35" s="41">
        <v>588</v>
      </c>
      <c r="I35" s="26">
        <f t="shared" si="0"/>
        <v>0</v>
      </c>
      <c r="J35" s="49" t="s">
        <v>249</v>
      </c>
      <c r="K35" s="22"/>
    </row>
    <row r="36" spans="1:11">
      <c r="A36" s="22">
        <v>35</v>
      </c>
      <c r="B36" s="55" t="s">
        <v>77</v>
      </c>
      <c r="C36" s="22"/>
      <c r="D36" s="22"/>
      <c r="E36" s="55" t="s">
        <v>229</v>
      </c>
      <c r="F36" s="41">
        <v>750</v>
      </c>
      <c r="G36" s="41">
        <v>650</v>
      </c>
      <c r="H36" s="41">
        <v>100</v>
      </c>
      <c r="I36" s="26">
        <f t="shared" si="0"/>
        <v>0</v>
      </c>
      <c r="J36" s="49" t="s">
        <v>244</v>
      </c>
      <c r="K36" s="22"/>
    </row>
    <row r="37" spans="1:11">
      <c r="A37" s="22">
        <v>36</v>
      </c>
      <c r="B37" s="55" t="s">
        <v>79</v>
      </c>
      <c r="C37" s="22"/>
      <c r="D37" s="22"/>
      <c r="E37" s="55" t="s">
        <v>229</v>
      </c>
      <c r="F37" s="41">
        <v>750</v>
      </c>
      <c r="G37" s="41">
        <v>750</v>
      </c>
      <c r="H37" s="41"/>
      <c r="I37" s="26">
        <f t="shared" si="0"/>
        <v>0</v>
      </c>
      <c r="J37" s="49" t="s">
        <v>249</v>
      </c>
      <c r="K37" s="22"/>
    </row>
    <row r="38" spans="1:11">
      <c r="A38" s="22">
        <v>37</v>
      </c>
      <c r="B38" s="55" t="s">
        <v>80</v>
      </c>
      <c r="C38" s="22"/>
      <c r="D38" s="22"/>
      <c r="E38" s="55" t="s">
        <v>229</v>
      </c>
      <c r="F38" s="41">
        <v>750</v>
      </c>
      <c r="G38" s="41">
        <v>750</v>
      </c>
      <c r="H38" s="41"/>
      <c r="I38" s="26">
        <f t="shared" si="0"/>
        <v>0</v>
      </c>
      <c r="J38" s="49" t="s">
        <v>250</v>
      </c>
      <c r="K38" s="22"/>
    </row>
    <row r="39" spans="1:11">
      <c r="A39" s="22">
        <v>38</v>
      </c>
      <c r="B39" s="55" t="s">
        <v>82</v>
      </c>
      <c r="C39" s="22"/>
      <c r="D39" s="22"/>
      <c r="E39" s="55" t="s">
        <v>229</v>
      </c>
      <c r="F39" s="41">
        <v>650</v>
      </c>
      <c r="G39" s="41">
        <v>550</v>
      </c>
      <c r="H39" s="41"/>
      <c r="I39" s="26">
        <f t="shared" si="0"/>
        <v>100</v>
      </c>
      <c r="J39" s="49" t="s">
        <v>243</v>
      </c>
      <c r="K39" s="22"/>
    </row>
    <row r="40" spans="1:11">
      <c r="A40" s="22">
        <v>39</v>
      </c>
      <c r="B40" s="55" t="s">
        <v>156</v>
      </c>
      <c r="C40" s="22"/>
      <c r="D40" s="22"/>
      <c r="E40" s="55" t="s">
        <v>229</v>
      </c>
      <c r="F40" s="41">
        <v>525</v>
      </c>
      <c r="G40" s="41">
        <v>525</v>
      </c>
      <c r="H40" s="41"/>
      <c r="I40" s="26">
        <f t="shared" si="0"/>
        <v>0</v>
      </c>
      <c r="J40" s="49">
        <v>46209</v>
      </c>
      <c r="K40" s="22"/>
    </row>
    <row r="41" spans="1:11">
      <c r="A41" s="22">
        <v>40</v>
      </c>
      <c r="B41" s="57" t="s">
        <v>157</v>
      </c>
      <c r="C41" s="22"/>
      <c r="D41" s="22"/>
      <c r="E41" s="57" t="s">
        <v>230</v>
      </c>
      <c r="F41" s="43">
        <v>750</v>
      </c>
      <c r="G41" s="43"/>
      <c r="H41" s="43">
        <v>750</v>
      </c>
      <c r="I41" s="26">
        <f t="shared" si="0"/>
        <v>0</v>
      </c>
      <c r="J41" s="51" t="s">
        <v>98</v>
      </c>
      <c r="K41" s="22"/>
    </row>
    <row r="42" spans="1:11">
      <c r="A42" s="22">
        <v>41</v>
      </c>
      <c r="B42" s="57" t="s">
        <v>158</v>
      </c>
      <c r="C42" s="22"/>
      <c r="D42" s="22"/>
      <c r="E42" s="57" t="s">
        <v>230</v>
      </c>
      <c r="F42" s="43">
        <v>700</v>
      </c>
      <c r="G42" s="43"/>
      <c r="H42" s="43">
        <v>700</v>
      </c>
      <c r="I42" s="26">
        <f t="shared" si="0"/>
        <v>0</v>
      </c>
      <c r="J42" s="51" t="s">
        <v>251</v>
      </c>
      <c r="K42" s="22"/>
    </row>
    <row r="43" spans="1:11">
      <c r="A43" s="22">
        <v>42</v>
      </c>
      <c r="B43" s="57" t="s">
        <v>159</v>
      </c>
      <c r="C43" s="22"/>
      <c r="D43" s="22"/>
      <c r="E43" s="57" t="s">
        <v>230</v>
      </c>
      <c r="F43" s="43">
        <v>750</v>
      </c>
      <c r="G43" s="43"/>
      <c r="H43" s="43">
        <v>750</v>
      </c>
      <c r="I43" s="26">
        <f t="shared" si="0"/>
        <v>0</v>
      </c>
      <c r="J43" s="51" t="s">
        <v>252</v>
      </c>
      <c r="K43" s="22"/>
    </row>
    <row r="44" spans="1:11">
      <c r="A44" s="22">
        <v>43</v>
      </c>
      <c r="B44" s="57" t="s">
        <v>60</v>
      </c>
      <c r="C44" s="22"/>
      <c r="D44" s="22"/>
      <c r="E44" s="57" t="s">
        <v>231</v>
      </c>
      <c r="F44" s="43">
        <v>700</v>
      </c>
      <c r="G44" s="43">
        <v>700</v>
      </c>
      <c r="H44" s="43"/>
      <c r="I44" s="26">
        <f t="shared" si="0"/>
        <v>0</v>
      </c>
      <c r="J44" s="51">
        <v>46210</v>
      </c>
      <c r="K44" s="22"/>
    </row>
    <row r="45" spans="1:11">
      <c r="A45" s="22">
        <v>44</v>
      </c>
      <c r="B45" s="57" t="s">
        <v>61</v>
      </c>
      <c r="C45" s="22"/>
      <c r="D45" s="22"/>
      <c r="E45" s="57" t="s">
        <v>231</v>
      </c>
      <c r="F45" s="43">
        <v>750</v>
      </c>
      <c r="G45" s="43">
        <v>750</v>
      </c>
      <c r="H45" s="43"/>
      <c r="I45" s="26">
        <f t="shared" si="0"/>
        <v>0</v>
      </c>
      <c r="J45" s="51" t="s">
        <v>241</v>
      </c>
      <c r="K45" s="22"/>
    </row>
    <row r="46" spans="1:11">
      <c r="A46" s="22">
        <v>45</v>
      </c>
      <c r="B46" s="57" t="s">
        <v>160</v>
      </c>
      <c r="C46" s="22"/>
      <c r="D46" s="22"/>
      <c r="E46" s="57" t="s">
        <v>231</v>
      </c>
      <c r="F46" s="43">
        <v>375</v>
      </c>
      <c r="G46" s="43"/>
      <c r="H46" s="43">
        <v>375</v>
      </c>
      <c r="I46" s="26">
        <f t="shared" si="0"/>
        <v>0</v>
      </c>
      <c r="J46" s="51" t="s">
        <v>253</v>
      </c>
      <c r="K46" s="22"/>
    </row>
    <row r="47" spans="1:11">
      <c r="A47" s="22">
        <v>46</v>
      </c>
      <c r="B47" s="57" t="s">
        <v>63</v>
      </c>
      <c r="C47" s="22"/>
      <c r="D47" s="22"/>
      <c r="E47" s="57" t="s">
        <v>231</v>
      </c>
      <c r="F47" s="43">
        <v>750</v>
      </c>
      <c r="G47" s="43">
        <v>750</v>
      </c>
      <c r="H47" s="43"/>
      <c r="I47" s="26">
        <f t="shared" si="0"/>
        <v>0</v>
      </c>
      <c r="J47" s="51" t="s">
        <v>241</v>
      </c>
      <c r="K47" s="22"/>
    </row>
    <row r="48" spans="1:11">
      <c r="A48" s="22">
        <v>47</v>
      </c>
      <c r="B48" s="57" t="s">
        <v>64</v>
      </c>
      <c r="C48" s="22"/>
      <c r="D48" s="22"/>
      <c r="E48" s="57" t="s">
        <v>231</v>
      </c>
      <c r="F48" s="43">
        <v>750</v>
      </c>
      <c r="G48" s="43"/>
      <c r="H48" s="43">
        <v>750</v>
      </c>
      <c r="I48" s="26">
        <f t="shared" si="0"/>
        <v>0</v>
      </c>
      <c r="J48" s="51" t="s">
        <v>245</v>
      </c>
      <c r="K48" s="22"/>
    </row>
    <row r="49" spans="1:11">
      <c r="A49" s="22">
        <v>48</v>
      </c>
      <c r="B49" s="57" t="s">
        <v>65</v>
      </c>
      <c r="C49" s="22"/>
      <c r="D49" s="22"/>
      <c r="E49" s="57" t="s">
        <v>231</v>
      </c>
      <c r="F49" s="43">
        <v>750</v>
      </c>
      <c r="G49" s="43">
        <v>750</v>
      </c>
      <c r="H49" s="43"/>
      <c r="I49" s="26">
        <f t="shared" si="0"/>
        <v>0</v>
      </c>
      <c r="J49" s="51" t="s">
        <v>254</v>
      </c>
      <c r="K49" s="22"/>
    </row>
    <row r="50" spans="1:11">
      <c r="A50" s="22">
        <v>49</v>
      </c>
      <c r="B50" s="57" t="s">
        <v>161</v>
      </c>
      <c r="C50" s="22"/>
      <c r="D50" s="22"/>
      <c r="E50" s="57" t="s">
        <v>231</v>
      </c>
      <c r="F50" s="43">
        <v>750</v>
      </c>
      <c r="G50" s="43"/>
      <c r="H50" s="43">
        <v>750</v>
      </c>
      <c r="I50" s="26">
        <f t="shared" si="0"/>
        <v>0</v>
      </c>
      <c r="J50" s="51" t="s">
        <v>255</v>
      </c>
      <c r="K50" s="22"/>
    </row>
    <row r="51" spans="1:11">
      <c r="A51" s="22">
        <v>50</v>
      </c>
      <c r="B51" s="58" t="s">
        <v>162</v>
      </c>
      <c r="C51" s="22"/>
      <c r="D51" s="22"/>
      <c r="E51" s="58" t="s">
        <v>232</v>
      </c>
      <c r="F51" s="44">
        <v>258</v>
      </c>
      <c r="G51" s="44"/>
      <c r="H51" s="44">
        <v>258</v>
      </c>
      <c r="I51" s="26">
        <f t="shared" si="0"/>
        <v>0</v>
      </c>
      <c r="J51" s="52" t="s">
        <v>256</v>
      </c>
      <c r="K51" s="22"/>
    </row>
    <row r="52" spans="1:11">
      <c r="A52" s="22">
        <v>51</v>
      </c>
      <c r="B52" s="58" t="s">
        <v>163</v>
      </c>
      <c r="C52" s="22"/>
      <c r="D52" s="22"/>
      <c r="E52" s="58" t="s">
        <v>232</v>
      </c>
      <c r="F52" s="44">
        <v>525</v>
      </c>
      <c r="G52" s="44"/>
      <c r="H52" s="44">
        <v>525</v>
      </c>
      <c r="I52" s="26">
        <f t="shared" si="0"/>
        <v>0</v>
      </c>
      <c r="J52" s="52" t="s">
        <v>249</v>
      </c>
      <c r="K52" s="22"/>
    </row>
    <row r="53" spans="1:11">
      <c r="A53" s="22">
        <v>52</v>
      </c>
      <c r="B53" s="58" t="s">
        <v>164</v>
      </c>
      <c r="C53" s="22"/>
      <c r="D53" s="22"/>
      <c r="E53" s="58" t="s">
        <v>232</v>
      </c>
      <c r="F53" s="44">
        <v>525</v>
      </c>
      <c r="G53" s="44">
        <v>525</v>
      </c>
      <c r="H53" s="44"/>
      <c r="I53" s="26">
        <f t="shared" si="0"/>
        <v>0</v>
      </c>
      <c r="J53" s="52" t="s">
        <v>254</v>
      </c>
      <c r="K53" s="22"/>
    </row>
    <row r="54" spans="1:11">
      <c r="A54" s="22">
        <v>53</v>
      </c>
      <c r="B54" s="58" t="s">
        <v>95</v>
      </c>
      <c r="C54" s="22"/>
      <c r="D54" s="22"/>
      <c r="E54" s="58" t="s">
        <v>232</v>
      </c>
      <c r="F54" s="44">
        <v>525</v>
      </c>
      <c r="G54" s="44">
        <v>525</v>
      </c>
      <c r="H54" s="44"/>
      <c r="I54" s="26">
        <f t="shared" si="0"/>
        <v>0</v>
      </c>
      <c r="J54" s="52" t="s">
        <v>257</v>
      </c>
      <c r="K54" s="22"/>
    </row>
    <row r="55" spans="1:11">
      <c r="A55" s="22">
        <v>54</v>
      </c>
      <c r="B55" s="58" t="s">
        <v>96</v>
      </c>
      <c r="C55" s="22"/>
      <c r="D55" s="22"/>
      <c r="E55" s="58" t="s">
        <v>232</v>
      </c>
      <c r="F55" s="44">
        <v>525</v>
      </c>
      <c r="G55" s="44">
        <v>525</v>
      </c>
      <c r="H55" s="44"/>
      <c r="I55" s="26">
        <f t="shared" si="0"/>
        <v>0</v>
      </c>
      <c r="J55" s="52">
        <v>46212</v>
      </c>
      <c r="K55" s="22"/>
    </row>
    <row r="56" spans="1:11">
      <c r="A56" s="22">
        <v>55</v>
      </c>
      <c r="B56" s="58" t="s">
        <v>97</v>
      </c>
      <c r="C56" s="22"/>
      <c r="D56" s="22"/>
      <c r="E56" s="58" t="s">
        <v>232</v>
      </c>
      <c r="F56" s="44">
        <v>525</v>
      </c>
      <c r="G56" s="44">
        <v>525</v>
      </c>
      <c r="H56" s="44"/>
      <c r="I56" s="26">
        <f t="shared" si="0"/>
        <v>0</v>
      </c>
      <c r="J56" s="52" t="s">
        <v>253</v>
      </c>
      <c r="K56" s="22"/>
    </row>
    <row r="57" spans="1:11">
      <c r="A57" s="22">
        <v>56</v>
      </c>
      <c r="B57" s="59" t="s">
        <v>165</v>
      </c>
      <c r="C57" s="22"/>
      <c r="D57" s="22"/>
      <c r="E57" s="59" t="s">
        <v>233</v>
      </c>
      <c r="F57" s="45">
        <v>750</v>
      </c>
      <c r="G57" s="45">
        <v>750</v>
      </c>
      <c r="H57" s="45"/>
      <c r="I57" s="26">
        <f t="shared" si="0"/>
        <v>0</v>
      </c>
      <c r="J57" s="53" t="s">
        <v>258</v>
      </c>
      <c r="K57" s="22"/>
    </row>
    <row r="58" spans="1:11">
      <c r="A58" s="22">
        <v>57</v>
      </c>
      <c r="B58" s="59" t="s">
        <v>72</v>
      </c>
      <c r="C58" s="22"/>
      <c r="D58" s="22"/>
      <c r="E58" s="59" t="s">
        <v>233</v>
      </c>
      <c r="F58" s="45">
        <v>750</v>
      </c>
      <c r="G58" s="45">
        <v>750</v>
      </c>
      <c r="H58" s="45"/>
      <c r="I58" s="26">
        <f t="shared" si="0"/>
        <v>0</v>
      </c>
      <c r="J58" s="53" t="s">
        <v>98</v>
      </c>
      <c r="K58" s="22"/>
    </row>
    <row r="59" spans="1:11">
      <c r="A59" s="22">
        <v>58</v>
      </c>
      <c r="B59" s="59" t="s">
        <v>75</v>
      </c>
      <c r="C59" s="22"/>
      <c r="D59" s="22"/>
      <c r="E59" s="59" t="s">
        <v>233</v>
      </c>
      <c r="F59" s="45">
        <v>750</v>
      </c>
      <c r="G59" s="45"/>
      <c r="H59" s="45">
        <v>750</v>
      </c>
      <c r="I59" s="26">
        <f t="shared" si="0"/>
        <v>0</v>
      </c>
      <c r="J59" s="53" t="s">
        <v>98</v>
      </c>
      <c r="K59" s="22"/>
    </row>
    <row r="60" spans="1:11">
      <c r="A60" s="22">
        <v>59</v>
      </c>
      <c r="B60" s="59" t="s">
        <v>73</v>
      </c>
      <c r="C60" s="22"/>
      <c r="D60" s="22"/>
      <c r="E60" s="59" t="s">
        <v>233</v>
      </c>
      <c r="F60" s="45">
        <v>600</v>
      </c>
      <c r="G60" s="45">
        <v>600</v>
      </c>
      <c r="H60" s="45"/>
      <c r="I60" s="26">
        <f t="shared" si="0"/>
        <v>0</v>
      </c>
      <c r="J60" s="53" t="s">
        <v>257</v>
      </c>
      <c r="K60" s="22"/>
    </row>
    <row r="61" spans="1:11">
      <c r="A61" s="22">
        <v>60</v>
      </c>
      <c r="B61" s="59" t="s">
        <v>74</v>
      </c>
      <c r="C61" s="22"/>
      <c r="D61" s="22"/>
      <c r="E61" s="59" t="s">
        <v>233</v>
      </c>
      <c r="F61" s="45">
        <v>750</v>
      </c>
      <c r="G61" s="45">
        <v>750</v>
      </c>
      <c r="H61" s="45"/>
      <c r="I61" s="26">
        <f t="shared" si="0"/>
        <v>0</v>
      </c>
      <c r="J61" s="53" t="s">
        <v>255</v>
      </c>
      <c r="K61" s="22"/>
    </row>
    <row r="62" spans="1:11">
      <c r="A62" s="22">
        <v>61</v>
      </c>
      <c r="B62" s="59" t="s">
        <v>166</v>
      </c>
      <c r="C62" s="22"/>
      <c r="D62" s="22"/>
      <c r="E62" s="59" t="s">
        <v>233</v>
      </c>
      <c r="F62" s="45">
        <v>750</v>
      </c>
      <c r="G62" s="45"/>
      <c r="H62" s="45">
        <v>750</v>
      </c>
      <c r="I62" s="26">
        <f t="shared" si="0"/>
        <v>0</v>
      </c>
      <c r="J62" s="53" t="s">
        <v>98</v>
      </c>
      <c r="K62" s="22"/>
    </row>
    <row r="63" spans="1:11">
      <c r="A63" s="22">
        <v>62</v>
      </c>
      <c r="B63" s="40" t="s">
        <v>167</v>
      </c>
      <c r="C63" s="22"/>
      <c r="D63" s="22"/>
      <c r="E63" s="40" t="s">
        <v>234</v>
      </c>
      <c r="F63" s="46">
        <v>525</v>
      </c>
      <c r="G63" s="46">
        <v>525</v>
      </c>
      <c r="H63" s="46"/>
      <c r="I63" s="26">
        <f t="shared" si="0"/>
        <v>0</v>
      </c>
      <c r="J63" s="54" t="s">
        <v>248</v>
      </c>
      <c r="K63" s="22"/>
    </row>
    <row r="64" spans="1:11">
      <c r="A64" s="22">
        <v>63</v>
      </c>
      <c r="B64" s="40" t="s">
        <v>168</v>
      </c>
      <c r="C64" s="22"/>
      <c r="D64" s="22"/>
      <c r="E64" s="40" t="s">
        <v>234</v>
      </c>
      <c r="F64" s="46">
        <v>650</v>
      </c>
      <c r="G64" s="46"/>
      <c r="H64" s="46">
        <v>650</v>
      </c>
      <c r="I64" s="26">
        <f t="shared" si="0"/>
        <v>0</v>
      </c>
      <c r="J64" s="54">
        <v>46205</v>
      </c>
      <c r="K64" s="22"/>
    </row>
    <row r="65" spans="1:11">
      <c r="A65" s="22">
        <v>64</v>
      </c>
      <c r="B65" s="40" t="s">
        <v>169</v>
      </c>
      <c r="C65" s="22"/>
      <c r="D65" s="22"/>
      <c r="E65" s="40" t="s">
        <v>234</v>
      </c>
      <c r="F65" s="46">
        <v>650</v>
      </c>
      <c r="G65" s="46">
        <v>650</v>
      </c>
      <c r="H65" s="46"/>
      <c r="I65" s="26">
        <f t="shared" si="0"/>
        <v>0</v>
      </c>
      <c r="J65" s="54" t="s">
        <v>259</v>
      </c>
      <c r="K65" s="22"/>
    </row>
    <row r="66" spans="1:11">
      <c r="A66" s="22">
        <v>65</v>
      </c>
      <c r="B66" s="40" t="s">
        <v>170</v>
      </c>
      <c r="C66" s="22"/>
      <c r="D66" s="22"/>
      <c r="E66" s="40" t="s">
        <v>234</v>
      </c>
      <c r="F66" s="46">
        <v>650</v>
      </c>
      <c r="G66" s="46"/>
      <c r="H66" s="46">
        <v>650</v>
      </c>
      <c r="I66" s="26">
        <f t="shared" si="0"/>
        <v>0</v>
      </c>
      <c r="J66" s="54">
        <v>46176</v>
      </c>
      <c r="K66" s="22"/>
    </row>
    <row r="67" spans="1:11">
      <c r="A67" s="22">
        <v>66</v>
      </c>
      <c r="B67" s="40" t="s">
        <v>171</v>
      </c>
      <c r="C67" s="22"/>
      <c r="D67" s="22"/>
      <c r="E67" s="40" t="s">
        <v>234</v>
      </c>
      <c r="F67" s="46">
        <v>650</v>
      </c>
      <c r="G67" s="46">
        <v>650</v>
      </c>
      <c r="H67" s="46"/>
      <c r="I67" s="26">
        <f t="shared" ref="I67:I121" si="1">F67-(G67+H67)</f>
        <v>0</v>
      </c>
      <c r="J67" s="54">
        <v>46210</v>
      </c>
      <c r="K67" s="22"/>
    </row>
    <row r="68" spans="1:11">
      <c r="A68" s="22">
        <v>67</v>
      </c>
      <c r="B68" s="40" t="s">
        <v>172</v>
      </c>
      <c r="C68" s="22"/>
      <c r="D68" s="22"/>
      <c r="E68" s="40" t="s">
        <v>234</v>
      </c>
      <c r="F68" s="46">
        <v>650</v>
      </c>
      <c r="G68" s="46">
        <v>650</v>
      </c>
      <c r="H68" s="46"/>
      <c r="I68" s="26">
        <f t="shared" si="1"/>
        <v>0</v>
      </c>
      <c r="J68" s="54" t="s">
        <v>246</v>
      </c>
      <c r="K68" s="22"/>
    </row>
    <row r="69" spans="1:11">
      <c r="A69" s="22">
        <v>68</v>
      </c>
      <c r="B69" s="40" t="s">
        <v>173</v>
      </c>
      <c r="C69" s="22"/>
      <c r="D69" s="22"/>
      <c r="E69" s="40" t="s">
        <v>234</v>
      </c>
      <c r="F69" s="46">
        <v>600</v>
      </c>
      <c r="G69" s="46">
        <v>600</v>
      </c>
      <c r="H69" s="46"/>
      <c r="I69" s="26">
        <f t="shared" si="1"/>
        <v>0</v>
      </c>
      <c r="J69" s="54" t="s">
        <v>258</v>
      </c>
      <c r="K69" s="22"/>
    </row>
    <row r="70" spans="1:11">
      <c r="A70" s="22">
        <v>69</v>
      </c>
      <c r="B70" s="40" t="s">
        <v>174</v>
      </c>
      <c r="C70" s="22"/>
      <c r="D70" s="22"/>
      <c r="E70" s="40" t="s">
        <v>234</v>
      </c>
      <c r="F70" s="46">
        <v>600</v>
      </c>
      <c r="G70" s="46">
        <v>600</v>
      </c>
      <c r="H70" s="46"/>
      <c r="I70" s="26">
        <f t="shared" si="1"/>
        <v>0</v>
      </c>
      <c r="J70" s="54" t="s">
        <v>258</v>
      </c>
      <c r="K70" s="22"/>
    </row>
    <row r="71" spans="1:11">
      <c r="A71" s="22">
        <v>70</v>
      </c>
      <c r="B71" s="40" t="s">
        <v>175</v>
      </c>
      <c r="C71" s="22"/>
      <c r="D71" s="22"/>
      <c r="E71" s="40" t="s">
        <v>234</v>
      </c>
      <c r="F71" s="46">
        <v>525</v>
      </c>
      <c r="G71" s="46"/>
      <c r="H71" s="46">
        <v>525</v>
      </c>
      <c r="I71" s="26">
        <f t="shared" si="1"/>
        <v>0</v>
      </c>
      <c r="J71" s="54" t="s">
        <v>241</v>
      </c>
      <c r="K71" s="22"/>
    </row>
    <row r="72" spans="1:11">
      <c r="A72" s="22">
        <v>71</v>
      </c>
      <c r="B72" s="58" t="s">
        <v>176</v>
      </c>
      <c r="C72" s="22"/>
      <c r="D72" s="22"/>
      <c r="E72" s="58" t="s">
        <v>235</v>
      </c>
      <c r="F72" s="44">
        <v>525</v>
      </c>
      <c r="G72" s="44">
        <v>525</v>
      </c>
      <c r="H72" s="44"/>
      <c r="I72" s="26">
        <f t="shared" si="1"/>
        <v>0</v>
      </c>
      <c r="J72" s="52" t="s">
        <v>246</v>
      </c>
      <c r="K72" s="22"/>
    </row>
    <row r="73" spans="1:11">
      <c r="A73" s="22">
        <v>72</v>
      </c>
      <c r="B73" s="58" t="s">
        <v>177</v>
      </c>
      <c r="C73" s="22"/>
      <c r="D73" s="22"/>
      <c r="E73" s="58" t="s">
        <v>235</v>
      </c>
      <c r="F73" s="44">
        <v>650</v>
      </c>
      <c r="G73" s="44"/>
      <c r="H73" s="44">
        <v>650</v>
      </c>
      <c r="I73" s="26">
        <f t="shared" si="1"/>
        <v>0</v>
      </c>
      <c r="J73" s="52">
        <v>46209</v>
      </c>
      <c r="K73" s="22"/>
    </row>
    <row r="74" spans="1:11">
      <c r="A74" s="22">
        <v>73</v>
      </c>
      <c r="B74" s="58" t="s">
        <v>178</v>
      </c>
      <c r="C74" s="22"/>
      <c r="D74" s="22"/>
      <c r="E74" s="58" t="s">
        <v>235</v>
      </c>
      <c r="F74" s="44">
        <v>650</v>
      </c>
      <c r="G74" s="44"/>
      <c r="H74" s="44">
        <v>650</v>
      </c>
      <c r="I74" s="26">
        <f t="shared" si="1"/>
        <v>0</v>
      </c>
      <c r="J74" s="52" t="s">
        <v>245</v>
      </c>
      <c r="K74" s="22"/>
    </row>
    <row r="75" spans="1:11">
      <c r="A75" s="22">
        <v>74</v>
      </c>
      <c r="B75" s="58" t="s">
        <v>179</v>
      </c>
      <c r="C75" s="22"/>
      <c r="D75" s="22"/>
      <c r="E75" s="58" t="s">
        <v>235</v>
      </c>
      <c r="F75" s="44">
        <v>525</v>
      </c>
      <c r="G75" s="44">
        <v>525</v>
      </c>
      <c r="H75" s="44"/>
      <c r="I75" s="26">
        <f t="shared" si="1"/>
        <v>0</v>
      </c>
      <c r="J75" s="52">
        <v>46209</v>
      </c>
      <c r="K75" s="22"/>
    </row>
    <row r="76" spans="1:11">
      <c r="A76" s="22">
        <v>75</v>
      </c>
      <c r="B76" s="58" t="s">
        <v>180</v>
      </c>
      <c r="C76" s="22"/>
      <c r="D76" s="22"/>
      <c r="E76" s="58" t="s">
        <v>235</v>
      </c>
      <c r="F76" s="44">
        <v>600</v>
      </c>
      <c r="G76" s="44">
        <v>600</v>
      </c>
      <c r="H76" s="44"/>
      <c r="I76" s="26">
        <f t="shared" si="1"/>
        <v>0</v>
      </c>
      <c r="J76" s="52">
        <v>46204</v>
      </c>
      <c r="K76" s="22"/>
    </row>
    <row r="77" spans="1:11">
      <c r="A77" s="22">
        <v>76</v>
      </c>
      <c r="B77" s="58" t="s">
        <v>181</v>
      </c>
      <c r="C77" s="22"/>
      <c r="D77" s="22"/>
      <c r="E77" s="58" t="s">
        <v>235</v>
      </c>
      <c r="F77" s="44">
        <v>600</v>
      </c>
      <c r="G77" s="44">
        <v>600</v>
      </c>
      <c r="H77" s="44"/>
      <c r="I77" s="26">
        <f t="shared" si="1"/>
        <v>0</v>
      </c>
      <c r="J77" s="52">
        <v>46204</v>
      </c>
      <c r="K77" s="22"/>
    </row>
    <row r="78" spans="1:11">
      <c r="A78" s="22">
        <v>77</v>
      </c>
      <c r="B78" s="58" t="s">
        <v>182</v>
      </c>
      <c r="C78" s="22"/>
      <c r="D78" s="22"/>
      <c r="E78" s="58" t="s">
        <v>235</v>
      </c>
      <c r="F78" s="44">
        <v>525</v>
      </c>
      <c r="G78" s="44">
        <v>525</v>
      </c>
      <c r="H78" s="44"/>
      <c r="I78" s="26">
        <f t="shared" si="1"/>
        <v>0</v>
      </c>
      <c r="J78" s="52">
        <v>46209</v>
      </c>
      <c r="K78" s="22"/>
    </row>
    <row r="79" spans="1:11">
      <c r="A79" s="22">
        <v>78</v>
      </c>
      <c r="B79" s="58" t="s">
        <v>183</v>
      </c>
      <c r="C79" s="22"/>
      <c r="D79" s="22"/>
      <c r="E79" s="58" t="s">
        <v>235</v>
      </c>
      <c r="F79" s="44">
        <v>600</v>
      </c>
      <c r="G79" s="44">
        <v>600</v>
      </c>
      <c r="H79" s="44"/>
      <c r="I79" s="26">
        <f t="shared" si="1"/>
        <v>0</v>
      </c>
      <c r="J79" s="52" t="s">
        <v>241</v>
      </c>
      <c r="K79" s="22"/>
    </row>
    <row r="80" spans="1:11">
      <c r="A80" s="22">
        <v>79</v>
      </c>
      <c r="B80" s="58" t="s">
        <v>184</v>
      </c>
      <c r="C80" s="22"/>
      <c r="D80" s="22"/>
      <c r="E80" s="58" t="s">
        <v>235</v>
      </c>
      <c r="F80" s="44">
        <v>525</v>
      </c>
      <c r="G80" s="44"/>
      <c r="H80" s="44">
        <v>525</v>
      </c>
      <c r="I80" s="26">
        <f t="shared" si="1"/>
        <v>0</v>
      </c>
      <c r="J80" s="52" t="s">
        <v>247</v>
      </c>
      <c r="K80" s="22"/>
    </row>
    <row r="81" spans="1:11">
      <c r="A81" s="22">
        <v>80</v>
      </c>
      <c r="B81" s="58" t="s">
        <v>185</v>
      </c>
      <c r="C81" s="22"/>
      <c r="D81" s="22"/>
      <c r="E81" s="58" t="s">
        <v>235</v>
      </c>
      <c r="F81" s="44">
        <v>525</v>
      </c>
      <c r="G81" s="44">
        <v>525</v>
      </c>
      <c r="H81" s="44"/>
      <c r="I81" s="26">
        <f t="shared" si="1"/>
        <v>0</v>
      </c>
      <c r="J81" s="52" t="s">
        <v>242</v>
      </c>
      <c r="K81" s="22"/>
    </row>
    <row r="82" spans="1:11">
      <c r="A82" s="22">
        <v>81</v>
      </c>
      <c r="B82" s="58" t="s">
        <v>186</v>
      </c>
      <c r="C82" s="22"/>
      <c r="D82" s="22"/>
      <c r="E82" s="58" t="s">
        <v>235</v>
      </c>
      <c r="F82" s="44">
        <v>525</v>
      </c>
      <c r="G82" s="44">
        <v>525</v>
      </c>
      <c r="H82" s="44"/>
      <c r="I82" s="26">
        <f t="shared" si="1"/>
        <v>0</v>
      </c>
      <c r="J82" s="52">
        <v>46209</v>
      </c>
      <c r="K82" s="22"/>
    </row>
    <row r="83" spans="1:11">
      <c r="A83" s="22">
        <v>82</v>
      </c>
      <c r="B83" s="58" t="s">
        <v>187</v>
      </c>
      <c r="C83" s="22"/>
      <c r="D83" s="22"/>
      <c r="E83" s="58" t="s">
        <v>235</v>
      </c>
      <c r="F83" s="44">
        <v>630</v>
      </c>
      <c r="G83" s="44">
        <v>630</v>
      </c>
      <c r="H83" s="44"/>
      <c r="I83" s="26">
        <f t="shared" si="1"/>
        <v>0</v>
      </c>
      <c r="J83" s="52" t="s">
        <v>244</v>
      </c>
      <c r="K83" s="22"/>
    </row>
    <row r="84" spans="1:11">
      <c r="A84" s="22">
        <v>83</v>
      </c>
      <c r="B84" s="59" t="s">
        <v>188</v>
      </c>
      <c r="C84" s="22"/>
      <c r="D84" s="22"/>
      <c r="E84" s="59" t="s">
        <v>236</v>
      </c>
      <c r="F84" s="45">
        <v>650</v>
      </c>
      <c r="G84" s="45">
        <v>650</v>
      </c>
      <c r="H84" s="45"/>
      <c r="I84" s="26">
        <f t="shared" si="1"/>
        <v>0</v>
      </c>
      <c r="J84" s="53" t="s">
        <v>260</v>
      </c>
      <c r="K84" s="22"/>
    </row>
    <row r="85" spans="1:11">
      <c r="A85" s="22">
        <v>84</v>
      </c>
      <c r="B85" s="59" t="s">
        <v>189</v>
      </c>
      <c r="C85" s="22"/>
      <c r="D85" s="22"/>
      <c r="E85" s="59" t="s">
        <v>236</v>
      </c>
      <c r="F85" s="45">
        <v>650</v>
      </c>
      <c r="G85" s="45"/>
      <c r="H85" s="45">
        <v>650</v>
      </c>
      <c r="I85" s="26">
        <f t="shared" si="1"/>
        <v>0</v>
      </c>
      <c r="J85" s="53" t="s">
        <v>242</v>
      </c>
      <c r="K85" s="22"/>
    </row>
    <row r="86" spans="1:11">
      <c r="A86" s="22">
        <v>85</v>
      </c>
      <c r="B86" s="59" t="s">
        <v>190</v>
      </c>
      <c r="C86" s="22"/>
      <c r="D86" s="22"/>
      <c r="E86" s="59" t="s">
        <v>236</v>
      </c>
      <c r="F86" s="45">
        <v>650</v>
      </c>
      <c r="G86" s="45">
        <v>650</v>
      </c>
      <c r="H86" s="45"/>
      <c r="I86" s="26">
        <f t="shared" si="1"/>
        <v>0</v>
      </c>
      <c r="J86" s="53" t="s">
        <v>255</v>
      </c>
      <c r="K86" s="22"/>
    </row>
    <row r="87" spans="1:11">
      <c r="A87" s="22">
        <v>86</v>
      </c>
      <c r="B87" s="55" t="s">
        <v>191</v>
      </c>
      <c r="C87" s="22"/>
      <c r="D87" s="22"/>
      <c r="E87" s="55" t="s">
        <v>237</v>
      </c>
      <c r="F87" s="41">
        <v>650</v>
      </c>
      <c r="G87" s="41">
        <v>650</v>
      </c>
      <c r="H87" s="41"/>
      <c r="I87" s="26">
        <f t="shared" si="1"/>
        <v>0</v>
      </c>
      <c r="J87" s="49" t="s">
        <v>254</v>
      </c>
      <c r="K87" s="22"/>
    </row>
    <row r="88" spans="1:11">
      <c r="A88" s="22">
        <v>87</v>
      </c>
      <c r="B88" s="55" t="s">
        <v>192</v>
      </c>
      <c r="C88" s="22"/>
      <c r="D88" s="22"/>
      <c r="E88" s="55" t="s">
        <v>237</v>
      </c>
      <c r="F88" s="41">
        <v>650</v>
      </c>
      <c r="G88" s="41">
        <v>650</v>
      </c>
      <c r="H88" s="41"/>
      <c r="I88" s="26">
        <f t="shared" si="1"/>
        <v>0</v>
      </c>
      <c r="J88" s="49">
        <v>46212</v>
      </c>
      <c r="K88" s="22"/>
    </row>
    <row r="89" spans="1:11">
      <c r="A89" s="22">
        <v>88</v>
      </c>
      <c r="B89" s="55" t="s">
        <v>193</v>
      </c>
      <c r="C89" s="22"/>
      <c r="D89" s="22"/>
      <c r="E89" s="55" t="s">
        <v>237</v>
      </c>
      <c r="F89" s="41">
        <v>650</v>
      </c>
      <c r="G89" s="41">
        <v>650</v>
      </c>
      <c r="H89" s="41"/>
      <c r="I89" s="26">
        <f t="shared" si="1"/>
        <v>0</v>
      </c>
      <c r="J89" s="49">
        <v>46212</v>
      </c>
      <c r="K89" s="22"/>
    </row>
    <row r="90" spans="1:11">
      <c r="A90" s="22">
        <v>89</v>
      </c>
      <c r="B90" s="55" t="s">
        <v>194</v>
      </c>
      <c r="C90" s="22"/>
      <c r="D90" s="22"/>
      <c r="E90" s="55" t="s">
        <v>237</v>
      </c>
      <c r="F90" s="41">
        <v>650</v>
      </c>
      <c r="G90" s="41">
        <v>650</v>
      </c>
      <c r="H90" s="41"/>
      <c r="I90" s="26">
        <f t="shared" si="1"/>
        <v>0</v>
      </c>
      <c r="J90" s="49" t="s">
        <v>240</v>
      </c>
      <c r="K90" s="22"/>
    </row>
    <row r="91" spans="1:11">
      <c r="A91" s="22">
        <v>90</v>
      </c>
      <c r="B91" s="55" t="s">
        <v>195</v>
      </c>
      <c r="C91" s="22"/>
      <c r="D91" s="22"/>
      <c r="E91" s="55" t="s">
        <v>237</v>
      </c>
      <c r="F91" s="41">
        <v>650</v>
      </c>
      <c r="G91" s="41"/>
      <c r="H91" s="41">
        <v>650</v>
      </c>
      <c r="I91" s="26">
        <f t="shared" si="1"/>
        <v>0</v>
      </c>
      <c r="J91" s="49" t="s">
        <v>253</v>
      </c>
      <c r="K91" s="22"/>
    </row>
    <row r="92" spans="1:11">
      <c r="A92" s="22">
        <v>91</v>
      </c>
      <c r="B92" s="55" t="s">
        <v>196</v>
      </c>
      <c r="C92" s="22"/>
      <c r="D92" s="22"/>
      <c r="E92" s="55" t="s">
        <v>237</v>
      </c>
      <c r="F92" s="41">
        <v>650</v>
      </c>
      <c r="G92" s="41">
        <v>650</v>
      </c>
      <c r="H92" s="41"/>
      <c r="I92" s="26">
        <f t="shared" si="1"/>
        <v>0</v>
      </c>
      <c r="J92" s="49">
        <v>46212</v>
      </c>
      <c r="K92" s="22"/>
    </row>
    <row r="93" spans="1:11">
      <c r="A93" s="22">
        <v>92</v>
      </c>
      <c r="B93" s="55" t="s">
        <v>197</v>
      </c>
      <c r="C93" s="22"/>
      <c r="D93" s="22"/>
      <c r="E93" s="55" t="s">
        <v>237</v>
      </c>
      <c r="F93" s="41">
        <v>650</v>
      </c>
      <c r="G93" s="41">
        <v>650</v>
      </c>
      <c r="H93" s="41"/>
      <c r="I93" s="26">
        <f t="shared" si="1"/>
        <v>0</v>
      </c>
      <c r="J93" s="49" t="s">
        <v>240</v>
      </c>
      <c r="K93" s="22"/>
    </row>
    <row r="94" spans="1:11">
      <c r="A94" s="22">
        <v>93</v>
      </c>
      <c r="B94" s="55" t="s">
        <v>198</v>
      </c>
      <c r="C94" s="22"/>
      <c r="D94" s="22"/>
      <c r="E94" s="55" t="s">
        <v>237</v>
      </c>
      <c r="F94" s="41">
        <v>650</v>
      </c>
      <c r="G94" s="41"/>
      <c r="H94" s="41">
        <v>650</v>
      </c>
      <c r="I94" s="26">
        <f t="shared" si="1"/>
        <v>0</v>
      </c>
      <c r="J94" s="49" t="s">
        <v>246</v>
      </c>
      <c r="K94" s="22"/>
    </row>
    <row r="95" spans="1:11">
      <c r="A95" s="22">
        <v>94</v>
      </c>
      <c r="B95" s="55" t="s">
        <v>199</v>
      </c>
      <c r="C95" s="22"/>
      <c r="D95" s="22"/>
      <c r="E95" s="55" t="s">
        <v>237</v>
      </c>
      <c r="F95" s="41">
        <v>650</v>
      </c>
      <c r="G95" s="41">
        <v>650</v>
      </c>
      <c r="H95" s="41"/>
      <c r="I95" s="26">
        <f t="shared" si="1"/>
        <v>0</v>
      </c>
      <c r="J95" s="49" t="s">
        <v>240</v>
      </c>
      <c r="K95" s="22"/>
    </row>
    <row r="96" spans="1:11">
      <c r="A96" s="22">
        <v>95</v>
      </c>
      <c r="B96" s="55" t="s">
        <v>200</v>
      </c>
      <c r="C96" s="22"/>
      <c r="D96" s="22"/>
      <c r="E96" s="55" t="s">
        <v>237</v>
      </c>
      <c r="F96" s="41">
        <v>650</v>
      </c>
      <c r="G96" s="41">
        <v>600</v>
      </c>
      <c r="H96" s="41"/>
      <c r="I96" s="26">
        <f t="shared" si="1"/>
        <v>50</v>
      </c>
      <c r="J96" s="49">
        <v>46212</v>
      </c>
      <c r="K96" s="22"/>
    </row>
    <row r="97" spans="1:11">
      <c r="A97" s="22">
        <v>96</v>
      </c>
      <c r="B97" s="40" t="s">
        <v>201</v>
      </c>
      <c r="C97" s="22"/>
      <c r="D97" s="22"/>
      <c r="E97" s="40" t="s">
        <v>238</v>
      </c>
      <c r="F97" s="46">
        <v>650</v>
      </c>
      <c r="G97" s="46"/>
      <c r="H97" s="46">
        <v>650</v>
      </c>
      <c r="I97" s="26">
        <f t="shared" si="1"/>
        <v>0</v>
      </c>
      <c r="J97" s="54" t="s">
        <v>244</v>
      </c>
      <c r="K97" s="22"/>
    </row>
    <row r="98" spans="1:11">
      <c r="A98" s="22">
        <v>97</v>
      </c>
      <c r="B98" s="40" t="s">
        <v>202</v>
      </c>
      <c r="C98" s="22"/>
      <c r="D98" s="22"/>
      <c r="E98" s="40" t="s">
        <v>238</v>
      </c>
      <c r="F98" s="46">
        <v>650</v>
      </c>
      <c r="G98" s="46"/>
      <c r="H98" s="46">
        <v>650</v>
      </c>
      <c r="I98" s="26">
        <f t="shared" si="1"/>
        <v>0</v>
      </c>
      <c r="J98" s="54" t="s">
        <v>98</v>
      </c>
      <c r="K98" s="22"/>
    </row>
    <row r="99" spans="1:11">
      <c r="A99" s="22">
        <v>98</v>
      </c>
      <c r="B99" s="40" t="s">
        <v>203</v>
      </c>
      <c r="C99" s="22"/>
      <c r="D99" s="22"/>
      <c r="E99" s="40" t="s">
        <v>238</v>
      </c>
      <c r="F99" s="46">
        <v>600</v>
      </c>
      <c r="G99" s="46">
        <v>600</v>
      </c>
      <c r="H99" s="46"/>
      <c r="I99" s="26">
        <f t="shared" si="1"/>
        <v>0</v>
      </c>
      <c r="J99" s="54">
        <v>46212</v>
      </c>
      <c r="K99" s="22"/>
    </row>
    <row r="100" spans="1:11">
      <c r="A100" s="22">
        <v>99</v>
      </c>
      <c r="B100" s="40" t="s">
        <v>204</v>
      </c>
      <c r="C100" s="22"/>
      <c r="D100" s="22"/>
      <c r="E100" s="40" t="s">
        <v>238</v>
      </c>
      <c r="F100" s="46">
        <v>650</v>
      </c>
      <c r="G100" s="46"/>
      <c r="H100" s="46">
        <v>650</v>
      </c>
      <c r="I100" s="26">
        <f t="shared" si="1"/>
        <v>0</v>
      </c>
      <c r="J100" s="54" t="s">
        <v>241</v>
      </c>
      <c r="K100" s="22"/>
    </row>
    <row r="101" spans="1:11">
      <c r="A101" s="22">
        <v>100</v>
      </c>
      <c r="B101" s="40" t="s">
        <v>205</v>
      </c>
      <c r="C101" s="22"/>
      <c r="D101" s="22"/>
      <c r="E101" s="40" t="s">
        <v>238</v>
      </c>
      <c r="F101" s="46">
        <v>650</v>
      </c>
      <c r="G101" s="46">
        <v>650</v>
      </c>
      <c r="H101" s="46"/>
      <c r="I101" s="26">
        <f t="shared" si="1"/>
        <v>0</v>
      </c>
      <c r="J101" s="54" t="s">
        <v>241</v>
      </c>
      <c r="K101" s="22"/>
    </row>
    <row r="102" spans="1:11">
      <c r="A102" s="22">
        <v>101</v>
      </c>
      <c r="B102" s="40" t="s">
        <v>206</v>
      </c>
      <c r="C102" s="22"/>
      <c r="D102" s="22"/>
      <c r="E102" s="40" t="s">
        <v>238</v>
      </c>
      <c r="F102" s="46">
        <v>600</v>
      </c>
      <c r="G102" s="46"/>
      <c r="H102" s="46">
        <v>600</v>
      </c>
      <c r="I102" s="26">
        <f t="shared" si="1"/>
        <v>0</v>
      </c>
      <c r="J102" s="54"/>
      <c r="K102" s="22"/>
    </row>
    <row r="103" spans="1:11">
      <c r="A103" s="22">
        <v>102</v>
      </c>
      <c r="B103" s="40" t="s">
        <v>207</v>
      </c>
      <c r="C103" s="22"/>
      <c r="D103" s="22"/>
      <c r="E103" s="40" t="s">
        <v>238</v>
      </c>
      <c r="F103" s="46">
        <v>600</v>
      </c>
      <c r="G103" s="46">
        <v>600</v>
      </c>
      <c r="H103" s="46"/>
      <c r="I103" s="26">
        <f t="shared" si="1"/>
        <v>0</v>
      </c>
      <c r="J103" s="54" t="s">
        <v>240</v>
      </c>
      <c r="K103" s="22"/>
    </row>
    <row r="104" spans="1:11">
      <c r="A104" s="22">
        <v>103</v>
      </c>
      <c r="B104" s="40" t="s">
        <v>208</v>
      </c>
      <c r="C104" s="22"/>
      <c r="D104" s="22"/>
      <c r="E104" s="40" t="s">
        <v>238</v>
      </c>
      <c r="F104" s="46">
        <v>600</v>
      </c>
      <c r="G104" s="46"/>
      <c r="H104" s="46">
        <v>600</v>
      </c>
      <c r="I104" s="26">
        <f t="shared" si="1"/>
        <v>0</v>
      </c>
      <c r="J104" s="54" t="s">
        <v>261</v>
      </c>
      <c r="K104" s="22"/>
    </row>
    <row r="105" spans="1:11">
      <c r="A105" s="22">
        <v>104</v>
      </c>
      <c r="B105" s="40" t="s">
        <v>209</v>
      </c>
      <c r="C105" s="22"/>
      <c r="D105" s="22"/>
      <c r="E105" s="40" t="s">
        <v>238</v>
      </c>
      <c r="F105" s="46">
        <v>650</v>
      </c>
      <c r="G105" s="46">
        <v>650</v>
      </c>
      <c r="H105" s="46"/>
      <c r="I105" s="26">
        <f t="shared" si="1"/>
        <v>0</v>
      </c>
      <c r="J105" s="54" t="s">
        <v>241</v>
      </c>
      <c r="K105" s="22"/>
    </row>
    <row r="106" spans="1:11">
      <c r="A106" s="22">
        <v>105</v>
      </c>
      <c r="B106" s="40" t="s">
        <v>210</v>
      </c>
      <c r="C106" s="22"/>
      <c r="D106" s="22"/>
      <c r="E106" s="40" t="s">
        <v>238</v>
      </c>
      <c r="F106" s="46">
        <v>650</v>
      </c>
      <c r="G106" s="46"/>
      <c r="H106" s="46">
        <v>650</v>
      </c>
      <c r="I106" s="26">
        <f t="shared" si="1"/>
        <v>0</v>
      </c>
      <c r="J106" s="54" t="s">
        <v>244</v>
      </c>
      <c r="K106" s="22"/>
    </row>
    <row r="107" spans="1:11">
      <c r="A107" s="22">
        <v>106</v>
      </c>
      <c r="B107" s="40" t="s">
        <v>211</v>
      </c>
      <c r="C107" s="22"/>
      <c r="D107" s="22"/>
      <c r="E107" s="40" t="s">
        <v>238</v>
      </c>
      <c r="F107" s="46">
        <v>650</v>
      </c>
      <c r="G107" s="46">
        <v>300</v>
      </c>
      <c r="H107" s="46">
        <v>350</v>
      </c>
      <c r="I107" s="26">
        <f t="shared" si="1"/>
        <v>0</v>
      </c>
      <c r="J107" s="54" t="s">
        <v>260</v>
      </c>
      <c r="K107" s="22"/>
    </row>
    <row r="108" spans="1:11">
      <c r="A108" s="22">
        <v>107</v>
      </c>
      <c r="B108" s="40" t="s">
        <v>212</v>
      </c>
      <c r="C108" s="22"/>
      <c r="D108" s="22"/>
      <c r="E108" s="40" t="s">
        <v>238</v>
      </c>
      <c r="F108" s="46">
        <v>166</v>
      </c>
      <c r="G108" s="46">
        <v>166</v>
      </c>
      <c r="H108" s="46"/>
      <c r="I108" s="26">
        <f t="shared" si="1"/>
        <v>0</v>
      </c>
      <c r="J108" s="54">
        <v>46212</v>
      </c>
      <c r="K108" s="22"/>
    </row>
    <row r="109" spans="1:11">
      <c r="A109" s="22">
        <v>108</v>
      </c>
      <c r="B109" s="40" t="s">
        <v>213</v>
      </c>
      <c r="C109" s="22"/>
      <c r="D109" s="22"/>
      <c r="E109" s="40" t="s">
        <v>238</v>
      </c>
      <c r="F109" s="46">
        <v>650</v>
      </c>
      <c r="G109" s="46"/>
      <c r="H109" s="46"/>
      <c r="I109" s="26">
        <f t="shared" si="1"/>
        <v>650</v>
      </c>
      <c r="J109" s="54" t="s">
        <v>260</v>
      </c>
      <c r="K109" s="22"/>
    </row>
    <row r="110" spans="1:11">
      <c r="A110" s="22">
        <v>109</v>
      </c>
      <c r="B110" s="40" t="s">
        <v>59</v>
      </c>
      <c r="C110" s="22"/>
      <c r="D110" s="22"/>
      <c r="E110" s="40" t="s">
        <v>238</v>
      </c>
      <c r="F110" s="46">
        <v>750</v>
      </c>
      <c r="G110" s="46"/>
      <c r="H110" s="46">
        <v>750</v>
      </c>
      <c r="I110" s="26">
        <f t="shared" si="1"/>
        <v>0</v>
      </c>
      <c r="J110" s="54"/>
      <c r="K110" s="22"/>
    </row>
    <row r="111" spans="1:11">
      <c r="A111" s="22">
        <v>110</v>
      </c>
      <c r="B111" s="40" t="s">
        <v>214</v>
      </c>
      <c r="C111" s="22"/>
      <c r="D111" s="22"/>
      <c r="E111" s="40" t="s">
        <v>238</v>
      </c>
      <c r="F111" s="46">
        <v>650</v>
      </c>
      <c r="G111" s="46"/>
      <c r="H111" s="46">
        <v>650</v>
      </c>
      <c r="I111" s="26">
        <f t="shared" si="1"/>
        <v>0</v>
      </c>
      <c r="J111" s="54" t="s">
        <v>262</v>
      </c>
      <c r="K111" s="22"/>
    </row>
    <row r="112" spans="1:11">
      <c r="A112" s="22">
        <v>111</v>
      </c>
      <c r="B112" s="40" t="s">
        <v>215</v>
      </c>
      <c r="C112" s="22"/>
      <c r="D112" s="22"/>
      <c r="E112" s="40" t="s">
        <v>238</v>
      </c>
      <c r="F112" s="46">
        <v>650</v>
      </c>
      <c r="G112" s="46">
        <v>650</v>
      </c>
      <c r="H112" s="46"/>
      <c r="I112" s="26">
        <f t="shared" si="1"/>
        <v>0</v>
      </c>
      <c r="J112" s="54" t="s">
        <v>240</v>
      </c>
      <c r="K112" s="22"/>
    </row>
    <row r="113" spans="1:11">
      <c r="A113" s="22">
        <v>112</v>
      </c>
      <c r="B113" s="58" t="s">
        <v>216</v>
      </c>
      <c r="C113" s="22"/>
      <c r="D113" s="22"/>
      <c r="E113" s="58" t="s">
        <v>239</v>
      </c>
      <c r="F113" s="44">
        <v>650</v>
      </c>
      <c r="G113" s="44"/>
      <c r="H113" s="44">
        <v>650</v>
      </c>
      <c r="I113" s="26">
        <f t="shared" si="1"/>
        <v>0</v>
      </c>
      <c r="J113" s="52" t="s">
        <v>247</v>
      </c>
      <c r="K113" s="22"/>
    </row>
    <row r="114" spans="1:11">
      <c r="A114" s="22">
        <v>113</v>
      </c>
      <c r="B114" s="58" t="s">
        <v>217</v>
      </c>
      <c r="C114" s="22"/>
      <c r="D114" s="22"/>
      <c r="E114" s="58" t="s">
        <v>239</v>
      </c>
      <c r="F114" s="44">
        <v>650</v>
      </c>
      <c r="G114" s="44">
        <v>650</v>
      </c>
      <c r="H114" s="44"/>
      <c r="I114" s="26">
        <f t="shared" si="1"/>
        <v>0</v>
      </c>
      <c r="J114" s="52">
        <v>46212</v>
      </c>
      <c r="K114" s="22"/>
    </row>
    <row r="115" spans="1:11">
      <c r="A115" s="22">
        <v>114</v>
      </c>
      <c r="B115" s="58" t="s">
        <v>218</v>
      </c>
      <c r="C115" s="22"/>
      <c r="D115" s="22"/>
      <c r="E115" s="58" t="s">
        <v>239</v>
      </c>
      <c r="F115" s="44">
        <v>650</v>
      </c>
      <c r="G115" s="44">
        <v>650</v>
      </c>
      <c r="H115" s="44"/>
      <c r="I115" s="26">
        <f t="shared" si="1"/>
        <v>0</v>
      </c>
      <c r="J115" s="52">
        <v>46212</v>
      </c>
      <c r="K115" s="22"/>
    </row>
    <row r="116" spans="1:11">
      <c r="A116" s="22">
        <v>115</v>
      </c>
      <c r="B116" s="58" t="s">
        <v>219</v>
      </c>
      <c r="C116" s="22"/>
      <c r="D116" s="22"/>
      <c r="E116" s="58" t="s">
        <v>239</v>
      </c>
      <c r="F116" s="44">
        <v>650</v>
      </c>
      <c r="G116" s="44">
        <v>650</v>
      </c>
      <c r="H116" s="44"/>
      <c r="I116" s="26">
        <f t="shared" si="1"/>
        <v>0</v>
      </c>
      <c r="J116" s="52">
        <v>46210</v>
      </c>
      <c r="K116" s="22"/>
    </row>
    <row r="117" spans="1:11">
      <c r="A117" s="22">
        <v>116</v>
      </c>
      <c r="B117" s="58" t="s">
        <v>220</v>
      </c>
      <c r="C117" s="22"/>
      <c r="D117" s="22"/>
      <c r="E117" s="58" t="s">
        <v>239</v>
      </c>
      <c r="F117" s="44">
        <v>600</v>
      </c>
      <c r="G117" s="44"/>
      <c r="H117" s="44">
        <v>600</v>
      </c>
      <c r="I117" s="26">
        <f t="shared" si="1"/>
        <v>0</v>
      </c>
      <c r="J117" s="52">
        <v>46210</v>
      </c>
      <c r="K117" s="22"/>
    </row>
    <row r="118" spans="1:11">
      <c r="A118" s="22">
        <v>117</v>
      </c>
      <c r="B118" s="58" t="s">
        <v>221</v>
      </c>
      <c r="C118" s="22"/>
      <c r="D118" s="22"/>
      <c r="E118" s="58" t="s">
        <v>239</v>
      </c>
      <c r="F118" s="44">
        <v>650</v>
      </c>
      <c r="G118" s="44">
        <v>650</v>
      </c>
      <c r="H118" s="44"/>
      <c r="I118" s="26">
        <f t="shared" si="1"/>
        <v>0</v>
      </c>
      <c r="J118" s="52"/>
      <c r="K118" s="22"/>
    </row>
    <row r="119" spans="1:11">
      <c r="A119" s="22">
        <v>118</v>
      </c>
      <c r="B119" s="58" t="s">
        <v>222</v>
      </c>
      <c r="C119" s="22"/>
      <c r="D119" s="22"/>
      <c r="E119" s="58" t="s">
        <v>239</v>
      </c>
      <c r="F119" s="44">
        <v>650</v>
      </c>
      <c r="G119" s="44">
        <v>650</v>
      </c>
      <c r="H119" s="44"/>
      <c r="I119" s="26">
        <f t="shared" si="1"/>
        <v>0</v>
      </c>
      <c r="J119" s="52">
        <v>46210</v>
      </c>
      <c r="K119" s="22"/>
    </row>
    <row r="120" spans="1:11">
      <c r="A120" s="22">
        <v>119</v>
      </c>
      <c r="B120" s="58" t="s">
        <v>223</v>
      </c>
      <c r="C120" s="22"/>
      <c r="D120" s="22"/>
      <c r="E120" s="58" t="s">
        <v>239</v>
      </c>
      <c r="F120" s="44">
        <v>650</v>
      </c>
      <c r="G120" s="44">
        <v>650</v>
      </c>
      <c r="H120" s="44"/>
      <c r="I120" s="26">
        <f t="shared" si="1"/>
        <v>0</v>
      </c>
      <c r="J120" s="52">
        <v>46210</v>
      </c>
      <c r="K120" s="22"/>
    </row>
    <row r="121" spans="1:11">
      <c r="A121" s="22">
        <v>120</v>
      </c>
      <c r="B121" s="58" t="s">
        <v>224</v>
      </c>
      <c r="C121" s="22"/>
      <c r="D121" s="22"/>
      <c r="E121" s="58" t="s">
        <v>239</v>
      </c>
      <c r="F121" s="44">
        <v>650</v>
      </c>
      <c r="G121" s="44">
        <v>650</v>
      </c>
      <c r="H121" s="44"/>
      <c r="I121" s="26">
        <f t="shared" si="1"/>
        <v>0</v>
      </c>
      <c r="J121" s="52" t="s">
        <v>240</v>
      </c>
      <c r="K121" s="22"/>
    </row>
    <row r="122" spans="1:11">
      <c r="I122" s="28"/>
    </row>
    <row r="123" spans="1:11">
      <c r="I123" s="29"/>
    </row>
    <row r="124" spans="1:11" ht="15.75" thickBot="1">
      <c r="C124" s="84" t="s">
        <v>324</v>
      </c>
      <c r="D124" s="83"/>
      <c r="E124" s="83"/>
      <c r="I124" s="29"/>
    </row>
    <row r="125" spans="1:11">
      <c r="A125" s="15">
        <v>1</v>
      </c>
      <c r="B125" s="85" t="s">
        <v>325</v>
      </c>
      <c r="C125" s="86"/>
      <c r="D125" s="86"/>
      <c r="E125" s="86"/>
      <c r="F125" s="86">
        <f t="shared" ref="F125:F143" si="2">SUM(C125-D125-E125)</f>
        <v>0</v>
      </c>
      <c r="G125" s="87" t="s">
        <v>227</v>
      </c>
      <c r="H125" s="88"/>
      <c r="I125" s="89"/>
      <c r="J125" s="90"/>
    </row>
    <row r="126" spans="1:11">
      <c r="A126" s="15">
        <v>2</v>
      </c>
      <c r="B126" s="91" t="s">
        <v>326</v>
      </c>
      <c r="C126" s="92"/>
      <c r="D126" s="92"/>
      <c r="E126" s="92"/>
      <c r="F126" s="92">
        <f t="shared" si="2"/>
        <v>0</v>
      </c>
      <c r="G126" s="93" t="s">
        <v>227</v>
      </c>
      <c r="H126" s="94"/>
      <c r="I126" s="95"/>
      <c r="J126" s="96"/>
    </row>
    <row r="127" spans="1:11">
      <c r="A127" s="15">
        <v>3</v>
      </c>
      <c r="B127" s="91" t="s">
        <v>327</v>
      </c>
      <c r="C127" s="92"/>
      <c r="D127" s="92"/>
      <c r="E127" s="92"/>
      <c r="F127" s="92">
        <f t="shared" si="2"/>
        <v>0</v>
      </c>
      <c r="G127" s="93" t="s">
        <v>227</v>
      </c>
      <c r="H127" s="94"/>
      <c r="I127" s="95"/>
      <c r="J127" s="96"/>
    </row>
    <row r="128" spans="1:11">
      <c r="A128" s="15">
        <v>4</v>
      </c>
      <c r="B128" s="39" t="s">
        <v>100</v>
      </c>
      <c r="C128" s="41">
        <v>0</v>
      </c>
      <c r="D128" s="41"/>
      <c r="E128" s="41"/>
      <c r="F128" s="41">
        <f t="shared" si="2"/>
        <v>0</v>
      </c>
      <c r="G128" s="93" t="s">
        <v>227</v>
      </c>
      <c r="H128" s="94"/>
      <c r="I128" s="49"/>
      <c r="J128" s="97"/>
    </row>
    <row r="129" spans="1:10">
      <c r="A129" s="15">
        <v>5</v>
      </c>
      <c r="B129" s="91" t="s">
        <v>84</v>
      </c>
      <c r="C129" s="92"/>
      <c r="D129" s="92"/>
      <c r="E129" s="92"/>
      <c r="F129" s="92">
        <f t="shared" si="2"/>
        <v>0</v>
      </c>
      <c r="G129" s="93" t="s">
        <v>227</v>
      </c>
      <c r="H129" s="94"/>
      <c r="I129" s="95"/>
      <c r="J129" s="96"/>
    </row>
    <row r="130" spans="1:10">
      <c r="A130" s="15">
        <v>6</v>
      </c>
      <c r="B130" s="91" t="s">
        <v>89</v>
      </c>
      <c r="C130" s="92"/>
      <c r="D130" s="92"/>
      <c r="E130" s="92"/>
      <c r="F130" s="92">
        <f t="shared" si="2"/>
        <v>0</v>
      </c>
      <c r="G130" s="93" t="s">
        <v>226</v>
      </c>
      <c r="H130" s="94"/>
      <c r="I130" s="95"/>
      <c r="J130" s="96"/>
    </row>
    <row r="131" spans="1:10">
      <c r="A131" s="15">
        <v>7</v>
      </c>
      <c r="B131" s="91" t="s">
        <v>328</v>
      </c>
      <c r="C131" s="92"/>
      <c r="D131" s="92"/>
      <c r="E131" s="92"/>
      <c r="F131" s="92">
        <f t="shared" si="2"/>
        <v>0</v>
      </c>
      <c r="G131" s="93" t="s">
        <v>226</v>
      </c>
      <c r="H131" s="94"/>
      <c r="I131" s="95"/>
      <c r="J131" s="96"/>
    </row>
    <row r="132" spans="1:10">
      <c r="A132" s="15">
        <v>8</v>
      </c>
      <c r="B132" s="91" t="s">
        <v>329</v>
      </c>
      <c r="C132" s="92"/>
      <c r="D132" s="92"/>
      <c r="E132" s="92"/>
      <c r="F132" s="92">
        <f t="shared" si="2"/>
        <v>0</v>
      </c>
      <c r="G132" s="93" t="s">
        <v>228</v>
      </c>
      <c r="H132" s="94"/>
      <c r="I132" s="95"/>
      <c r="J132" s="96"/>
    </row>
    <row r="133" spans="1:10">
      <c r="A133" s="15">
        <v>9</v>
      </c>
      <c r="B133" s="91" t="s">
        <v>78</v>
      </c>
      <c r="C133" s="92"/>
      <c r="D133" s="92"/>
      <c r="E133" s="92"/>
      <c r="F133" s="92">
        <f t="shared" si="2"/>
        <v>0</v>
      </c>
      <c r="G133" s="93" t="s">
        <v>229</v>
      </c>
      <c r="H133" s="94"/>
      <c r="I133" s="95"/>
      <c r="J133" s="96"/>
    </row>
    <row r="134" spans="1:10">
      <c r="A134" s="15">
        <v>10</v>
      </c>
      <c r="B134" s="91" t="s">
        <v>81</v>
      </c>
      <c r="C134" s="92"/>
      <c r="D134" s="92"/>
      <c r="E134" s="92"/>
      <c r="F134" s="92">
        <f t="shared" si="2"/>
        <v>0</v>
      </c>
      <c r="G134" s="93" t="s">
        <v>229</v>
      </c>
      <c r="H134" s="94"/>
      <c r="I134" s="95"/>
      <c r="J134" s="96"/>
    </row>
    <row r="135" spans="1:10">
      <c r="A135" s="15">
        <v>11</v>
      </c>
      <c r="B135" s="91" t="s">
        <v>71</v>
      </c>
      <c r="C135" s="92"/>
      <c r="D135" s="92"/>
      <c r="E135" s="92"/>
      <c r="F135" s="92">
        <f t="shared" si="2"/>
        <v>0</v>
      </c>
      <c r="G135" s="93" t="s">
        <v>230</v>
      </c>
      <c r="H135" s="94"/>
      <c r="I135" s="95"/>
      <c r="J135" s="96"/>
    </row>
    <row r="136" spans="1:10">
      <c r="A136" s="15">
        <v>12</v>
      </c>
      <c r="B136" s="39" t="s">
        <v>102</v>
      </c>
      <c r="C136" s="41"/>
      <c r="D136" s="41"/>
      <c r="E136" s="41"/>
      <c r="F136" s="41">
        <f t="shared" si="2"/>
        <v>0</v>
      </c>
      <c r="G136" s="93" t="s">
        <v>230</v>
      </c>
      <c r="H136" s="94"/>
      <c r="I136" s="49"/>
      <c r="J136" s="97"/>
    </row>
    <row r="137" spans="1:10">
      <c r="A137" s="15">
        <v>13</v>
      </c>
      <c r="B137" s="91" t="s">
        <v>62</v>
      </c>
      <c r="C137" s="92"/>
      <c r="D137" s="92"/>
      <c r="E137" s="92"/>
      <c r="F137" s="92">
        <f t="shared" si="2"/>
        <v>0</v>
      </c>
      <c r="G137" s="93" t="s">
        <v>330</v>
      </c>
      <c r="H137" s="94"/>
      <c r="I137" s="95"/>
      <c r="J137" s="96"/>
    </row>
    <row r="138" spans="1:10">
      <c r="A138" s="15">
        <v>14</v>
      </c>
      <c r="B138" s="91" t="s">
        <v>331</v>
      </c>
      <c r="C138" s="92"/>
      <c r="D138" s="92"/>
      <c r="E138" s="92"/>
      <c r="F138" s="92">
        <f t="shared" si="2"/>
        <v>0</v>
      </c>
      <c r="G138" s="93" t="s">
        <v>232</v>
      </c>
      <c r="H138" s="94"/>
      <c r="I138" s="95"/>
      <c r="J138" s="96"/>
    </row>
    <row r="139" spans="1:10">
      <c r="A139" s="15">
        <v>15</v>
      </c>
      <c r="B139" s="39" t="s">
        <v>99</v>
      </c>
      <c r="C139" s="41">
        <v>0</v>
      </c>
      <c r="D139" s="41"/>
      <c r="E139" s="41"/>
      <c r="F139" s="41">
        <f t="shared" si="2"/>
        <v>0</v>
      </c>
      <c r="G139" s="93" t="s">
        <v>232</v>
      </c>
      <c r="H139" s="94"/>
      <c r="I139" s="49"/>
      <c r="J139" s="97"/>
    </row>
    <row r="140" spans="1:10">
      <c r="A140" s="15">
        <v>16</v>
      </c>
      <c r="B140" s="91" t="s">
        <v>332</v>
      </c>
      <c r="C140" s="92"/>
      <c r="D140" s="92"/>
      <c r="E140" s="92"/>
      <c r="F140" s="92">
        <f t="shared" si="2"/>
        <v>0</v>
      </c>
      <c r="G140" s="93" t="s">
        <v>233</v>
      </c>
      <c r="H140" s="94"/>
      <c r="I140" s="95"/>
      <c r="J140" s="96"/>
    </row>
    <row r="141" spans="1:10">
      <c r="A141" s="15">
        <v>17</v>
      </c>
      <c r="B141" s="91" t="s">
        <v>333</v>
      </c>
      <c r="C141" s="92"/>
      <c r="D141" s="92"/>
      <c r="E141" s="92"/>
      <c r="F141" s="92">
        <f t="shared" si="2"/>
        <v>0</v>
      </c>
      <c r="G141" s="93" t="s">
        <v>234</v>
      </c>
      <c r="H141" s="94"/>
      <c r="I141" s="95"/>
      <c r="J141" s="96"/>
    </row>
    <row r="142" spans="1:10">
      <c r="A142" s="15">
        <v>18</v>
      </c>
      <c r="B142" s="91" t="s">
        <v>334</v>
      </c>
      <c r="C142" s="92"/>
      <c r="D142" s="92"/>
      <c r="E142" s="92"/>
      <c r="F142" s="92">
        <f t="shared" si="2"/>
        <v>0</v>
      </c>
      <c r="G142" s="93" t="s">
        <v>234</v>
      </c>
      <c r="H142" s="94"/>
      <c r="I142" s="95"/>
      <c r="J142" s="96"/>
    </row>
    <row r="143" spans="1:10">
      <c r="A143" s="15">
        <v>19</v>
      </c>
      <c r="B143" s="91" t="s">
        <v>335</v>
      </c>
      <c r="C143" s="92"/>
      <c r="D143" s="92"/>
      <c r="E143" s="92"/>
      <c r="F143" s="92">
        <f t="shared" si="2"/>
        <v>0</v>
      </c>
      <c r="G143" s="93" t="s">
        <v>234</v>
      </c>
      <c r="H143" s="94"/>
      <c r="I143" s="95"/>
      <c r="J143" s="96"/>
    </row>
    <row r="144" spans="1:10">
      <c r="A144" s="15">
        <v>20</v>
      </c>
      <c r="B144" s="39" t="s">
        <v>336</v>
      </c>
      <c r="C144" s="41"/>
      <c r="D144" s="41"/>
      <c r="E144" s="41"/>
      <c r="F144" s="41"/>
      <c r="G144" s="93" t="s">
        <v>234</v>
      </c>
      <c r="H144" s="94"/>
      <c r="I144" s="49"/>
      <c r="J144" s="97"/>
    </row>
    <row r="145" spans="1:10">
      <c r="A145" s="15">
        <v>21</v>
      </c>
      <c r="B145" s="91" t="s">
        <v>337</v>
      </c>
      <c r="C145" s="92"/>
      <c r="D145" s="92"/>
      <c r="E145" s="92"/>
      <c r="F145" s="92">
        <f t="shared" ref="F145:F154" si="3">SUM(C145-D145-E145)</f>
        <v>0</v>
      </c>
      <c r="G145" s="93" t="s">
        <v>234</v>
      </c>
      <c r="H145" s="94"/>
      <c r="I145" s="95"/>
      <c r="J145" s="96"/>
    </row>
    <row r="146" spans="1:10">
      <c r="A146" s="15">
        <v>22</v>
      </c>
      <c r="B146" s="91" t="s">
        <v>338</v>
      </c>
      <c r="C146" s="92"/>
      <c r="D146" s="92"/>
      <c r="E146" s="92"/>
      <c r="F146" s="92">
        <f t="shared" si="3"/>
        <v>0</v>
      </c>
      <c r="G146" s="93" t="s">
        <v>234</v>
      </c>
      <c r="H146" s="94"/>
      <c r="I146" s="95"/>
      <c r="J146" s="96"/>
    </row>
    <row r="147" spans="1:10">
      <c r="A147" s="15">
        <v>23</v>
      </c>
      <c r="B147" s="91" t="s">
        <v>339</v>
      </c>
      <c r="C147" s="92"/>
      <c r="D147" s="92"/>
      <c r="E147" s="92"/>
      <c r="F147" s="92">
        <f t="shared" si="3"/>
        <v>0</v>
      </c>
      <c r="G147" s="93" t="s">
        <v>234</v>
      </c>
      <c r="H147" s="94"/>
      <c r="I147" s="95"/>
      <c r="J147" s="96"/>
    </row>
    <row r="148" spans="1:10">
      <c r="A148" s="15">
        <v>24</v>
      </c>
      <c r="B148" s="91" t="s">
        <v>340</v>
      </c>
      <c r="C148" s="92"/>
      <c r="D148" s="92"/>
      <c r="E148" s="92"/>
      <c r="F148" s="92">
        <f t="shared" si="3"/>
        <v>0</v>
      </c>
      <c r="G148" s="93" t="s">
        <v>235</v>
      </c>
      <c r="H148" s="94"/>
      <c r="I148" s="95"/>
      <c r="J148" s="96"/>
    </row>
    <row r="149" spans="1:10">
      <c r="A149" s="15">
        <v>25</v>
      </c>
      <c r="B149" s="91" t="s">
        <v>341</v>
      </c>
      <c r="C149" s="92"/>
      <c r="D149" s="92"/>
      <c r="E149" s="92"/>
      <c r="F149" s="92">
        <f t="shared" si="3"/>
        <v>0</v>
      </c>
      <c r="G149" s="93" t="s">
        <v>235</v>
      </c>
      <c r="H149" s="94"/>
      <c r="I149" s="95"/>
      <c r="J149" s="96"/>
    </row>
    <row r="150" spans="1:10">
      <c r="A150" s="15">
        <v>26</v>
      </c>
      <c r="B150" s="91" t="s">
        <v>342</v>
      </c>
      <c r="C150" s="92"/>
      <c r="D150" s="92"/>
      <c r="E150" s="92"/>
      <c r="F150" s="92">
        <f t="shared" si="3"/>
        <v>0</v>
      </c>
      <c r="G150" s="93" t="s">
        <v>235</v>
      </c>
      <c r="H150" s="94"/>
      <c r="I150" s="95"/>
      <c r="J150" s="96"/>
    </row>
    <row r="151" spans="1:10">
      <c r="A151" s="15">
        <v>27</v>
      </c>
      <c r="B151" s="91" t="s">
        <v>343</v>
      </c>
      <c r="C151" s="92"/>
      <c r="D151" s="92"/>
      <c r="E151" s="92"/>
      <c r="F151" s="92">
        <f t="shared" si="3"/>
        <v>0</v>
      </c>
      <c r="G151" s="93" t="s">
        <v>236</v>
      </c>
      <c r="H151" s="94"/>
      <c r="I151" s="95"/>
      <c r="J151" s="96"/>
    </row>
    <row r="152" spans="1:10">
      <c r="A152" s="15">
        <v>28</v>
      </c>
      <c r="B152" s="91" t="s">
        <v>344</v>
      </c>
      <c r="C152" s="92"/>
      <c r="D152" s="92"/>
      <c r="E152" s="92"/>
      <c r="F152" s="92">
        <f t="shared" si="3"/>
        <v>0</v>
      </c>
      <c r="G152" s="93" t="s">
        <v>237</v>
      </c>
      <c r="H152" s="94"/>
      <c r="I152" s="95"/>
      <c r="J152" s="96"/>
    </row>
    <row r="153" spans="1:10">
      <c r="A153" s="15">
        <v>29</v>
      </c>
      <c r="B153" s="98" t="s">
        <v>345</v>
      </c>
      <c r="C153" s="92"/>
      <c r="D153" s="92"/>
      <c r="E153" s="92"/>
      <c r="F153" s="92">
        <f t="shared" si="3"/>
        <v>0</v>
      </c>
      <c r="G153" s="93" t="s">
        <v>237</v>
      </c>
      <c r="H153" s="94"/>
      <c r="I153" s="95"/>
      <c r="J153" s="96"/>
    </row>
    <row r="154" spans="1:10" ht="15.75" thickBot="1">
      <c r="A154" s="15">
        <v>30</v>
      </c>
      <c r="B154" s="99" t="s">
        <v>346</v>
      </c>
      <c r="C154" s="100"/>
      <c r="D154" s="100"/>
      <c r="E154" s="100"/>
      <c r="F154" s="100">
        <f t="shared" si="3"/>
        <v>0</v>
      </c>
      <c r="G154" s="101" t="s">
        <v>238</v>
      </c>
      <c r="H154" s="102"/>
      <c r="I154" s="103"/>
      <c r="J154" s="104"/>
    </row>
    <row r="155" spans="1:10">
      <c r="I155" s="29"/>
    </row>
    <row r="156" spans="1:10">
      <c r="I156" s="29"/>
    </row>
    <row r="157" spans="1:10">
      <c r="I157" s="29"/>
    </row>
    <row r="158" spans="1:10">
      <c r="I158" s="29"/>
    </row>
    <row r="159" spans="1:10">
      <c r="I159" s="29"/>
    </row>
    <row r="160" spans="1:10">
      <c r="I160" s="29"/>
    </row>
    <row r="161" spans="9:9">
      <c r="I161" s="29"/>
    </row>
    <row r="162" spans="9:9">
      <c r="I162" s="29"/>
    </row>
  </sheetData>
  <mergeCells count="31">
    <mergeCell ref="G154:H154"/>
    <mergeCell ref="G149:H149"/>
    <mergeCell ref="G150:H150"/>
    <mergeCell ref="G151:H151"/>
    <mergeCell ref="G152:H152"/>
    <mergeCell ref="G153:H153"/>
    <mergeCell ref="G144:H144"/>
    <mergeCell ref="G145:H145"/>
    <mergeCell ref="G146:H146"/>
    <mergeCell ref="G147:H147"/>
    <mergeCell ref="G148:H148"/>
    <mergeCell ref="G139:H139"/>
    <mergeCell ref="G140:H140"/>
    <mergeCell ref="G141:H141"/>
    <mergeCell ref="G142:H142"/>
    <mergeCell ref="G143:H143"/>
    <mergeCell ref="G134:H134"/>
    <mergeCell ref="G135:H135"/>
    <mergeCell ref="G136:H136"/>
    <mergeCell ref="G137:H137"/>
    <mergeCell ref="G138:H138"/>
    <mergeCell ref="G129:H129"/>
    <mergeCell ref="G130:H130"/>
    <mergeCell ref="G131:H131"/>
    <mergeCell ref="G132:H132"/>
    <mergeCell ref="G133:H133"/>
    <mergeCell ref="C124:E124"/>
    <mergeCell ref="G125:H125"/>
    <mergeCell ref="G126:H126"/>
    <mergeCell ref="G127:H127"/>
    <mergeCell ref="G128:H12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1"/>
  <sheetViews>
    <sheetView workbookViewId="0">
      <selection activeCell="H17" sqref="H17"/>
    </sheetView>
  </sheetViews>
  <sheetFormatPr defaultColWidth="9" defaultRowHeight="15"/>
  <cols>
    <col min="1" max="1" width="6" style="15" customWidth="1"/>
    <col min="2" max="2" width="28" style="15" customWidth="1"/>
    <col min="3" max="3" width="24.7109375" style="37" customWidth="1"/>
    <col min="4" max="4" width="13.28515625" style="23" customWidth="1"/>
    <col min="5" max="5" width="15" style="18" customWidth="1"/>
    <col min="6" max="6" width="16" style="23" customWidth="1"/>
    <col min="7" max="7" width="18" style="23" customWidth="1"/>
    <col min="8" max="8" width="16" style="23" customWidth="1"/>
    <col min="9" max="9" width="22" style="23" customWidth="1"/>
    <col min="10" max="10" width="15" style="15" customWidth="1"/>
    <col min="11" max="11" width="25" customWidth="1"/>
  </cols>
  <sheetData>
    <row r="1" spans="1:11" ht="27.95" customHeight="1">
      <c r="A1" s="19" t="s">
        <v>0</v>
      </c>
      <c r="B1" s="19" t="s">
        <v>21</v>
      </c>
      <c r="C1" s="19" t="s">
        <v>22</v>
      </c>
      <c r="D1" s="31" t="s">
        <v>23</v>
      </c>
      <c r="E1" s="34" t="s">
        <v>24</v>
      </c>
      <c r="F1" s="31" t="s">
        <v>25</v>
      </c>
      <c r="G1" s="31" t="s">
        <v>26</v>
      </c>
      <c r="H1" s="31" t="s">
        <v>27</v>
      </c>
      <c r="I1" s="31" t="s">
        <v>28</v>
      </c>
      <c r="J1" s="19" t="s">
        <v>29</v>
      </c>
      <c r="K1" s="19" t="s">
        <v>10</v>
      </c>
    </row>
    <row r="2" spans="1:11">
      <c r="A2" s="16">
        <v>1</v>
      </c>
      <c r="B2" s="16" t="s">
        <v>103</v>
      </c>
      <c r="C2" s="35" t="s">
        <v>117</v>
      </c>
      <c r="D2" s="32">
        <v>6000</v>
      </c>
      <c r="E2" s="20"/>
      <c r="F2" s="32">
        <v>2350</v>
      </c>
      <c r="G2" s="32">
        <v>3270</v>
      </c>
      <c r="H2" s="32"/>
      <c r="I2" s="32">
        <f>D2+G2-F2-H2</f>
        <v>6920</v>
      </c>
      <c r="J2" s="16"/>
      <c r="K2" s="9"/>
    </row>
    <row r="3" spans="1:11">
      <c r="A3" s="16">
        <v>2</v>
      </c>
      <c r="B3" s="16" t="s">
        <v>109</v>
      </c>
      <c r="C3" s="35" t="s">
        <v>118</v>
      </c>
      <c r="D3" s="32">
        <v>5000</v>
      </c>
      <c r="E3" s="20"/>
      <c r="F3" s="32">
        <v>4895</v>
      </c>
      <c r="G3" s="32"/>
      <c r="H3" s="32">
        <v>105</v>
      </c>
      <c r="I3" s="32">
        <f t="shared" ref="I3:I20" si="0">D3+G3-F3-H3</f>
        <v>0</v>
      </c>
      <c r="J3" s="16"/>
      <c r="K3" s="9"/>
    </row>
    <row r="4" spans="1:11">
      <c r="A4" s="16">
        <v>3</v>
      </c>
      <c r="B4" s="16" t="s">
        <v>116</v>
      </c>
      <c r="C4" s="35" t="s">
        <v>119</v>
      </c>
      <c r="D4" s="32">
        <v>5000</v>
      </c>
      <c r="E4" s="20"/>
      <c r="F4" s="32">
        <v>4600</v>
      </c>
      <c r="G4" s="32"/>
      <c r="H4" s="32">
        <v>250</v>
      </c>
      <c r="I4" s="32">
        <f t="shared" si="0"/>
        <v>150</v>
      </c>
      <c r="J4" s="16"/>
      <c r="K4" s="9"/>
    </row>
    <row r="5" spans="1:11">
      <c r="A5" s="16">
        <v>4</v>
      </c>
      <c r="B5" s="16" t="s">
        <v>111</v>
      </c>
      <c r="C5" s="35" t="s">
        <v>120</v>
      </c>
      <c r="D5" s="32">
        <v>3500</v>
      </c>
      <c r="E5" s="20"/>
      <c r="F5" s="32">
        <v>2883</v>
      </c>
      <c r="G5" s="32"/>
      <c r="H5" s="32">
        <v>617</v>
      </c>
      <c r="I5" s="32">
        <f t="shared" si="0"/>
        <v>0</v>
      </c>
      <c r="J5" s="16"/>
      <c r="K5" s="9"/>
    </row>
    <row r="6" spans="1:11">
      <c r="B6" s="15" t="s">
        <v>112</v>
      </c>
      <c r="C6" s="36" t="s">
        <v>30</v>
      </c>
      <c r="D6" s="23">
        <v>2500</v>
      </c>
      <c r="F6" s="23">
        <v>872</v>
      </c>
      <c r="H6" s="23">
        <v>220</v>
      </c>
      <c r="I6" s="32">
        <f t="shared" si="0"/>
        <v>1408</v>
      </c>
      <c r="J6" s="16"/>
    </row>
    <row r="7" spans="1:11">
      <c r="B7" s="15" t="s">
        <v>113</v>
      </c>
      <c r="C7" s="36" t="s">
        <v>121</v>
      </c>
      <c r="D7" s="23">
        <v>1200</v>
      </c>
      <c r="F7" s="23">
        <v>1700</v>
      </c>
      <c r="G7" s="23">
        <v>1200</v>
      </c>
      <c r="I7" s="32">
        <f t="shared" si="0"/>
        <v>700</v>
      </c>
      <c r="J7" s="16"/>
    </row>
    <row r="8" spans="1:11">
      <c r="B8" s="15" t="s">
        <v>114</v>
      </c>
      <c r="C8" s="36" t="s">
        <v>122</v>
      </c>
      <c r="D8" s="23">
        <v>1500</v>
      </c>
      <c r="F8" s="23">
        <v>1246</v>
      </c>
      <c r="H8" s="23">
        <v>254</v>
      </c>
      <c r="I8" s="32">
        <f t="shared" si="0"/>
        <v>0</v>
      </c>
      <c r="J8" s="16"/>
    </row>
    <row r="9" spans="1:11">
      <c r="B9" s="15" t="s">
        <v>115</v>
      </c>
      <c r="C9" s="36" t="s">
        <v>123</v>
      </c>
      <c r="D9" s="23">
        <v>5000</v>
      </c>
      <c r="F9" s="23">
        <v>1300</v>
      </c>
      <c r="G9" s="23">
        <v>6565</v>
      </c>
      <c r="H9" s="23">
        <v>245</v>
      </c>
      <c r="I9" s="32">
        <f t="shared" si="0"/>
        <v>10020</v>
      </c>
      <c r="J9" s="16"/>
    </row>
    <row r="10" spans="1:11">
      <c r="B10" s="15" t="s">
        <v>263</v>
      </c>
      <c r="C10" s="36" t="s">
        <v>264</v>
      </c>
      <c r="D10" s="23">
        <v>3640</v>
      </c>
      <c r="E10" s="60">
        <v>300</v>
      </c>
      <c r="F10" s="23">
        <v>3640</v>
      </c>
      <c r="I10" s="32">
        <f t="shared" si="0"/>
        <v>0</v>
      </c>
      <c r="J10" s="16"/>
    </row>
    <row r="11" spans="1:11">
      <c r="B11" s="15" t="s">
        <v>104</v>
      </c>
      <c r="C11" s="36" t="s">
        <v>124</v>
      </c>
      <c r="D11" s="23">
        <v>1938</v>
      </c>
      <c r="E11" s="33">
        <v>0.17</v>
      </c>
      <c r="F11" s="23">
        <v>1938</v>
      </c>
      <c r="I11" s="32">
        <f t="shared" si="0"/>
        <v>0</v>
      </c>
      <c r="J11" s="16"/>
    </row>
    <row r="12" spans="1:11">
      <c r="B12" s="15" t="s">
        <v>106</v>
      </c>
      <c r="C12" s="36" t="s">
        <v>125</v>
      </c>
      <c r="D12" s="23">
        <v>2645.71</v>
      </c>
      <c r="E12" s="33">
        <v>0.17</v>
      </c>
      <c r="F12" s="23">
        <v>2302.56</v>
      </c>
      <c r="H12" s="23">
        <v>344</v>
      </c>
      <c r="I12" s="32">
        <f t="shared" si="0"/>
        <v>-0.84999999999990905</v>
      </c>
      <c r="J12" s="16"/>
    </row>
    <row r="13" spans="1:11">
      <c r="B13" s="15" t="s">
        <v>107</v>
      </c>
      <c r="C13" s="36" t="s">
        <v>125</v>
      </c>
      <c r="D13" s="23">
        <v>2545.75</v>
      </c>
      <c r="E13" s="33">
        <v>0.17</v>
      </c>
      <c r="F13" s="23">
        <v>2406.75</v>
      </c>
      <c r="H13" s="23">
        <v>139</v>
      </c>
      <c r="I13" s="32">
        <f t="shared" si="0"/>
        <v>0</v>
      </c>
      <c r="J13" s="16"/>
    </row>
    <row r="14" spans="1:11">
      <c r="B14" s="15" t="s">
        <v>108</v>
      </c>
      <c r="C14" s="36" t="s">
        <v>126</v>
      </c>
      <c r="D14" s="23">
        <v>2493.2199999999998</v>
      </c>
      <c r="E14" s="33">
        <v>0.17</v>
      </c>
      <c r="F14" s="23">
        <v>2402</v>
      </c>
      <c r="H14" s="23">
        <v>92</v>
      </c>
      <c r="I14" s="32">
        <f t="shared" si="0"/>
        <v>-0.78000000000020009</v>
      </c>
      <c r="J14" s="16"/>
    </row>
    <row r="15" spans="1:11">
      <c r="B15" s="15" t="s">
        <v>105</v>
      </c>
      <c r="C15" s="36" t="s">
        <v>127</v>
      </c>
      <c r="D15" s="23">
        <v>1071</v>
      </c>
      <c r="E15" s="33">
        <v>0.17</v>
      </c>
      <c r="F15" s="23">
        <v>600</v>
      </c>
      <c r="H15" s="23">
        <v>509</v>
      </c>
      <c r="I15" s="32">
        <f t="shared" si="0"/>
        <v>-38</v>
      </c>
      <c r="J15" s="16"/>
    </row>
    <row r="16" spans="1:11">
      <c r="B16" s="15" t="s">
        <v>110</v>
      </c>
      <c r="C16" s="36" t="s">
        <v>127</v>
      </c>
      <c r="D16" s="23">
        <v>2263.21</v>
      </c>
      <c r="E16" s="33">
        <v>0.17</v>
      </c>
      <c r="F16" s="23">
        <v>2175</v>
      </c>
      <c r="H16" s="23">
        <v>115</v>
      </c>
      <c r="I16" s="32">
        <f t="shared" si="0"/>
        <v>-26.789999999999964</v>
      </c>
      <c r="J16" s="16"/>
    </row>
    <row r="17" spans="3:10">
      <c r="C17" s="36"/>
      <c r="E17" s="33"/>
      <c r="I17" s="32">
        <f t="shared" si="0"/>
        <v>0</v>
      </c>
      <c r="J17" s="16"/>
    </row>
    <row r="18" spans="3:10">
      <c r="C18" s="36"/>
      <c r="I18" s="32">
        <f t="shared" si="0"/>
        <v>0</v>
      </c>
      <c r="J18" s="16"/>
    </row>
    <row r="19" spans="3:10">
      <c r="C19" s="36"/>
      <c r="I19" s="32">
        <f t="shared" si="0"/>
        <v>0</v>
      </c>
      <c r="J19" s="16"/>
    </row>
    <row r="20" spans="3:10">
      <c r="C20" s="36"/>
      <c r="I20" s="32">
        <f t="shared" si="0"/>
        <v>0</v>
      </c>
      <c r="J20" s="16"/>
    </row>
    <row r="21" spans="3:10">
      <c r="J21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G34"/>
  <sheetViews>
    <sheetView topLeftCell="A11" workbookViewId="0">
      <selection activeCell="B30" sqref="B30"/>
    </sheetView>
  </sheetViews>
  <sheetFormatPr defaultColWidth="9" defaultRowHeight="15"/>
  <cols>
    <col min="1" max="1" width="6" style="15" customWidth="1"/>
    <col min="2" max="2" width="14" style="15" customWidth="1"/>
    <col min="3" max="3" width="22" customWidth="1"/>
    <col min="4" max="4" width="48.85546875" customWidth="1"/>
    <col min="5" max="5" width="16" style="4" customWidth="1"/>
    <col min="6" max="6" width="16" style="15" customWidth="1"/>
    <col min="7" max="7" width="16" customWidth="1"/>
    <col min="8" max="8" width="9" customWidth="1"/>
  </cols>
  <sheetData>
    <row r="1" spans="1:7" ht="27.95" customHeight="1">
      <c r="A1" s="17" t="s">
        <v>0</v>
      </c>
      <c r="B1" s="17" t="s">
        <v>31</v>
      </c>
      <c r="C1" s="17" t="s">
        <v>32</v>
      </c>
      <c r="D1" s="17" t="s">
        <v>33</v>
      </c>
      <c r="E1" s="38" t="s">
        <v>137</v>
      </c>
      <c r="F1" s="38" t="s">
        <v>138</v>
      </c>
      <c r="G1" s="38" t="s">
        <v>139</v>
      </c>
    </row>
    <row r="2" spans="1:7" ht="14.25" customHeight="1">
      <c r="A2" s="16">
        <v>1</v>
      </c>
      <c r="B2" s="61">
        <v>46205</v>
      </c>
      <c r="C2" s="62" t="s">
        <v>132</v>
      </c>
      <c r="D2" s="62" t="s">
        <v>265</v>
      </c>
      <c r="E2" s="63"/>
      <c r="F2" s="63">
        <v>60</v>
      </c>
      <c r="G2" s="64">
        <f t="shared" ref="G2:G34" si="0">SUM(E2:F2)</f>
        <v>60</v>
      </c>
    </row>
    <row r="3" spans="1:7" ht="14.25" customHeight="1">
      <c r="A3" s="16">
        <v>2</v>
      </c>
      <c r="B3" s="61">
        <v>46206</v>
      </c>
      <c r="C3" s="62" t="s">
        <v>266</v>
      </c>
      <c r="D3" s="62" t="s">
        <v>267</v>
      </c>
      <c r="E3" s="63"/>
      <c r="F3" s="63">
        <v>1450</v>
      </c>
      <c r="G3" s="64">
        <f t="shared" si="0"/>
        <v>1450</v>
      </c>
    </row>
    <row r="4" spans="1:7" ht="14.25" customHeight="1">
      <c r="A4" s="16">
        <v>3</v>
      </c>
      <c r="B4" s="61">
        <v>46206</v>
      </c>
      <c r="C4" s="62" t="s">
        <v>131</v>
      </c>
      <c r="D4" s="62" t="s">
        <v>268</v>
      </c>
      <c r="E4" s="63"/>
      <c r="F4" s="63">
        <v>1020</v>
      </c>
      <c r="G4" s="64">
        <f t="shared" si="0"/>
        <v>1020</v>
      </c>
    </row>
    <row r="5" spans="1:7" ht="14.25" customHeight="1">
      <c r="A5" s="16">
        <v>4</v>
      </c>
      <c r="B5" s="61">
        <v>46207</v>
      </c>
      <c r="C5" s="62" t="s">
        <v>133</v>
      </c>
      <c r="D5" s="62" t="s">
        <v>269</v>
      </c>
      <c r="E5" s="63"/>
      <c r="F5" s="63">
        <v>448</v>
      </c>
      <c r="G5" s="64">
        <f t="shared" si="0"/>
        <v>448</v>
      </c>
    </row>
    <row r="6" spans="1:7" ht="14.25" customHeight="1">
      <c r="A6" s="16">
        <v>5</v>
      </c>
      <c r="B6" s="61">
        <v>46208</v>
      </c>
      <c r="C6" s="62" t="s">
        <v>131</v>
      </c>
      <c r="D6" s="62" t="s">
        <v>270</v>
      </c>
      <c r="E6" s="63"/>
      <c r="F6" s="63">
        <v>2000</v>
      </c>
      <c r="G6" s="64">
        <f t="shared" si="0"/>
        <v>2000</v>
      </c>
    </row>
    <row r="7" spans="1:7" ht="14.25" customHeight="1">
      <c r="A7" s="16">
        <v>6</v>
      </c>
      <c r="B7" s="61">
        <v>46209</v>
      </c>
      <c r="C7" s="65" t="s">
        <v>134</v>
      </c>
      <c r="D7" s="69" t="s">
        <v>136</v>
      </c>
      <c r="E7" s="63"/>
      <c r="F7" s="63">
        <v>200</v>
      </c>
      <c r="G7" s="64">
        <f t="shared" si="0"/>
        <v>200</v>
      </c>
    </row>
    <row r="8" spans="1:7" ht="14.25" customHeight="1">
      <c r="A8" s="16">
        <v>7</v>
      </c>
      <c r="B8" s="61">
        <v>46210</v>
      </c>
      <c r="C8" s="62" t="s">
        <v>271</v>
      </c>
      <c r="D8" s="62" t="s">
        <v>135</v>
      </c>
      <c r="E8" s="63"/>
      <c r="F8" s="63">
        <v>184</v>
      </c>
      <c r="G8" s="64">
        <f t="shared" si="0"/>
        <v>184</v>
      </c>
    </row>
    <row r="9" spans="1:7" ht="14.25" customHeight="1">
      <c r="A9" s="16">
        <v>8</v>
      </c>
      <c r="B9" s="61">
        <v>46211</v>
      </c>
      <c r="C9" s="62" t="s">
        <v>272</v>
      </c>
      <c r="D9" s="62" t="s">
        <v>273</v>
      </c>
      <c r="E9" s="63">
        <v>836</v>
      </c>
      <c r="F9" s="63">
        <v>164</v>
      </c>
      <c r="G9" s="64">
        <f t="shared" si="0"/>
        <v>1000</v>
      </c>
    </row>
    <row r="10" spans="1:7" ht="14.25" customHeight="1">
      <c r="A10" s="16">
        <v>9</v>
      </c>
      <c r="B10" s="61">
        <v>46212</v>
      </c>
      <c r="C10" s="62" t="s">
        <v>131</v>
      </c>
      <c r="D10" s="62" t="s">
        <v>274</v>
      </c>
      <c r="E10" s="63"/>
      <c r="F10" s="63">
        <v>2000</v>
      </c>
      <c r="G10" s="64">
        <f t="shared" si="0"/>
        <v>2000</v>
      </c>
    </row>
    <row r="11" spans="1:7" ht="14.25" customHeight="1">
      <c r="A11" s="16">
        <v>10</v>
      </c>
      <c r="B11" s="61">
        <v>46213</v>
      </c>
      <c r="C11" s="62" t="s">
        <v>275</v>
      </c>
      <c r="D11" s="62" t="s">
        <v>276</v>
      </c>
      <c r="E11" s="63">
        <v>510</v>
      </c>
      <c r="F11" s="63"/>
      <c r="G11" s="64">
        <f t="shared" si="0"/>
        <v>510</v>
      </c>
    </row>
    <row r="12" spans="1:7" ht="14.25" customHeight="1">
      <c r="A12" s="16">
        <v>11</v>
      </c>
      <c r="B12" s="61">
        <v>46213</v>
      </c>
      <c r="C12" s="62" t="s">
        <v>277</v>
      </c>
      <c r="D12" s="62" t="s">
        <v>278</v>
      </c>
      <c r="E12" s="63"/>
      <c r="F12" s="63">
        <v>250</v>
      </c>
      <c r="G12" s="64">
        <f t="shared" si="0"/>
        <v>250</v>
      </c>
    </row>
    <row r="13" spans="1:7" ht="14.25" customHeight="1">
      <c r="A13" s="16">
        <v>12</v>
      </c>
      <c r="B13" s="61" t="s">
        <v>279</v>
      </c>
      <c r="C13" s="62" t="s">
        <v>131</v>
      </c>
      <c r="D13" s="62" t="s">
        <v>280</v>
      </c>
      <c r="E13" s="63"/>
      <c r="F13" s="63">
        <v>2000</v>
      </c>
      <c r="G13" s="64">
        <f t="shared" si="0"/>
        <v>2000</v>
      </c>
    </row>
    <row r="14" spans="1:7" ht="14.25" customHeight="1">
      <c r="A14" s="16">
        <v>13</v>
      </c>
      <c r="B14" s="61">
        <v>46216</v>
      </c>
      <c r="C14" s="62" t="s">
        <v>275</v>
      </c>
      <c r="D14" s="62" t="s">
        <v>281</v>
      </c>
      <c r="E14" s="63">
        <v>510</v>
      </c>
      <c r="F14" s="63"/>
      <c r="G14" s="64">
        <f t="shared" si="0"/>
        <v>510</v>
      </c>
    </row>
    <row r="15" spans="1:7" ht="14.25" customHeight="1">
      <c r="A15" s="16">
        <v>14</v>
      </c>
      <c r="B15" s="61">
        <v>46217</v>
      </c>
      <c r="C15" s="62" t="s">
        <v>282</v>
      </c>
      <c r="D15" s="62" t="s">
        <v>283</v>
      </c>
      <c r="E15" s="63"/>
      <c r="F15" s="63">
        <v>20</v>
      </c>
      <c r="G15" s="64">
        <f t="shared" si="0"/>
        <v>20</v>
      </c>
    </row>
    <row r="16" spans="1:7" ht="14.25" customHeight="1">
      <c r="A16" s="16">
        <v>15</v>
      </c>
      <c r="B16" s="61">
        <v>46219</v>
      </c>
      <c r="C16" s="62" t="s">
        <v>130</v>
      </c>
      <c r="D16" s="62" t="s">
        <v>284</v>
      </c>
      <c r="E16" s="63"/>
      <c r="F16" s="63">
        <v>12150</v>
      </c>
      <c r="G16" s="64">
        <f t="shared" si="0"/>
        <v>12150</v>
      </c>
    </row>
    <row r="17" spans="1:7" ht="14.25" customHeight="1">
      <c r="A17" s="16">
        <v>16</v>
      </c>
      <c r="B17" s="61">
        <v>46220</v>
      </c>
      <c r="C17" s="62" t="s">
        <v>285</v>
      </c>
      <c r="D17" s="62" t="s">
        <v>286</v>
      </c>
      <c r="E17" s="63"/>
      <c r="F17" s="63">
        <v>435</v>
      </c>
      <c r="G17" s="64">
        <f t="shared" si="0"/>
        <v>435</v>
      </c>
    </row>
    <row r="18" spans="1:7" ht="14.25" customHeight="1">
      <c r="A18" s="16">
        <v>17</v>
      </c>
      <c r="B18" s="61">
        <v>46220</v>
      </c>
      <c r="C18" s="62" t="s">
        <v>287</v>
      </c>
      <c r="D18" s="62" t="s">
        <v>288</v>
      </c>
      <c r="E18" s="63"/>
      <c r="F18" s="63">
        <v>650</v>
      </c>
      <c r="G18" s="64">
        <f t="shared" si="0"/>
        <v>650</v>
      </c>
    </row>
    <row r="19" spans="1:7" ht="14.25" customHeight="1">
      <c r="A19" s="16">
        <v>18</v>
      </c>
      <c r="B19" s="61">
        <v>46222</v>
      </c>
      <c r="C19" s="62" t="s">
        <v>289</v>
      </c>
      <c r="D19" s="62" t="s">
        <v>290</v>
      </c>
      <c r="E19" s="63"/>
      <c r="F19" s="63">
        <v>164</v>
      </c>
      <c r="G19" s="64">
        <f t="shared" si="0"/>
        <v>164</v>
      </c>
    </row>
    <row r="20" spans="1:7" ht="14.25" customHeight="1">
      <c r="A20" s="16">
        <v>19</v>
      </c>
      <c r="B20" s="61">
        <v>46223</v>
      </c>
      <c r="C20" s="62" t="s">
        <v>282</v>
      </c>
      <c r="D20" s="62" t="s">
        <v>291</v>
      </c>
      <c r="E20" s="63"/>
      <c r="F20" s="63">
        <v>70</v>
      </c>
      <c r="G20" s="64">
        <f t="shared" si="0"/>
        <v>70</v>
      </c>
    </row>
    <row r="21" spans="1:7" ht="14.25" customHeight="1">
      <c r="A21" s="16">
        <v>20</v>
      </c>
      <c r="B21" s="61">
        <v>46224</v>
      </c>
      <c r="C21" s="62" t="s">
        <v>292</v>
      </c>
      <c r="D21" s="62" t="s">
        <v>293</v>
      </c>
      <c r="E21" s="63"/>
      <c r="F21" s="63">
        <v>125</v>
      </c>
      <c r="G21" s="64">
        <f t="shared" si="0"/>
        <v>125</v>
      </c>
    </row>
    <row r="22" spans="1:7" ht="14.25" customHeight="1">
      <c r="A22" s="16">
        <v>21</v>
      </c>
      <c r="B22" s="61">
        <v>46225</v>
      </c>
      <c r="C22" s="62" t="s">
        <v>131</v>
      </c>
      <c r="D22" s="62" t="s">
        <v>294</v>
      </c>
      <c r="E22" s="63"/>
      <c r="F22" s="63">
        <v>1800</v>
      </c>
      <c r="G22" s="64">
        <f t="shared" si="0"/>
        <v>1800</v>
      </c>
    </row>
    <row r="23" spans="1:7" ht="18.75">
      <c r="A23" s="16">
        <v>22</v>
      </c>
      <c r="B23" s="61">
        <v>46225</v>
      </c>
      <c r="C23" s="62" t="s">
        <v>295</v>
      </c>
      <c r="D23" s="62" t="s">
        <v>296</v>
      </c>
      <c r="E23" s="63"/>
      <c r="F23" s="63">
        <v>2550</v>
      </c>
      <c r="G23" s="64">
        <f t="shared" si="0"/>
        <v>2550</v>
      </c>
    </row>
    <row r="24" spans="1:7" ht="18.75">
      <c r="A24" s="16">
        <v>23</v>
      </c>
      <c r="B24" s="61">
        <v>46226</v>
      </c>
      <c r="C24" s="62" t="s">
        <v>297</v>
      </c>
      <c r="D24" s="62" t="s">
        <v>298</v>
      </c>
      <c r="E24" s="63">
        <v>380</v>
      </c>
      <c r="F24" s="63"/>
      <c r="G24" s="64">
        <f t="shared" si="0"/>
        <v>380</v>
      </c>
    </row>
    <row r="25" spans="1:7" ht="18.75">
      <c r="A25" s="16">
        <v>24</v>
      </c>
      <c r="B25" s="61" t="s">
        <v>299</v>
      </c>
      <c r="C25" s="62" t="s">
        <v>300</v>
      </c>
      <c r="D25" s="62" t="s">
        <v>301</v>
      </c>
      <c r="E25" s="63"/>
      <c r="F25" s="63">
        <v>1617</v>
      </c>
      <c r="G25" s="64">
        <f t="shared" si="0"/>
        <v>1617</v>
      </c>
    </row>
    <row r="26" spans="1:7" ht="18.75">
      <c r="A26" s="16">
        <v>25</v>
      </c>
      <c r="B26" s="61" t="s">
        <v>299</v>
      </c>
      <c r="C26" s="62" t="s">
        <v>302</v>
      </c>
      <c r="D26" s="62" t="s">
        <v>303</v>
      </c>
      <c r="E26" s="63"/>
      <c r="F26" s="63">
        <v>20</v>
      </c>
      <c r="G26" s="64">
        <f t="shared" si="0"/>
        <v>20</v>
      </c>
    </row>
    <row r="27" spans="1:7" ht="18.75">
      <c r="A27" s="16">
        <v>26</v>
      </c>
      <c r="B27" s="61" t="s">
        <v>304</v>
      </c>
      <c r="C27" s="62" t="s">
        <v>305</v>
      </c>
      <c r="D27" s="62" t="s">
        <v>306</v>
      </c>
      <c r="E27" s="63"/>
      <c r="F27" s="63">
        <v>2350</v>
      </c>
      <c r="G27" s="64">
        <f t="shared" si="0"/>
        <v>2350</v>
      </c>
    </row>
    <row r="28" spans="1:7" ht="18.75">
      <c r="A28" s="16">
        <v>27</v>
      </c>
      <c r="B28" s="61" t="s">
        <v>304</v>
      </c>
      <c r="C28" s="62" t="s">
        <v>302</v>
      </c>
      <c r="D28" s="62" t="s">
        <v>303</v>
      </c>
      <c r="E28" s="63"/>
      <c r="F28" s="63">
        <v>20</v>
      </c>
      <c r="G28" s="64">
        <f t="shared" si="0"/>
        <v>20</v>
      </c>
    </row>
    <row r="29" spans="1:7" ht="18.75">
      <c r="A29" s="16">
        <v>28</v>
      </c>
      <c r="B29" s="61" t="s">
        <v>304</v>
      </c>
      <c r="C29" s="66" t="s">
        <v>297</v>
      </c>
      <c r="D29" s="62" t="s">
        <v>307</v>
      </c>
      <c r="E29" s="63"/>
      <c r="F29" s="63">
        <v>125</v>
      </c>
      <c r="G29" s="64">
        <f t="shared" si="0"/>
        <v>125</v>
      </c>
    </row>
    <row r="30" spans="1:7" ht="18.75">
      <c r="A30" s="16">
        <v>29</v>
      </c>
      <c r="B30" s="67" t="s">
        <v>308</v>
      </c>
      <c r="C30" s="66" t="s">
        <v>305</v>
      </c>
      <c r="D30" s="62" t="s">
        <v>309</v>
      </c>
      <c r="E30" s="63"/>
      <c r="F30" s="63">
        <v>2490</v>
      </c>
      <c r="G30" s="64">
        <f t="shared" si="0"/>
        <v>2490</v>
      </c>
    </row>
    <row r="31" spans="1:7" ht="18.75">
      <c r="A31" s="16">
        <v>30</v>
      </c>
      <c r="B31" s="67" t="s">
        <v>308</v>
      </c>
      <c r="C31" s="62" t="s">
        <v>297</v>
      </c>
      <c r="D31" s="62" t="s">
        <v>310</v>
      </c>
      <c r="E31" s="63"/>
      <c r="F31" s="63">
        <v>440</v>
      </c>
      <c r="G31" s="64">
        <f t="shared" si="0"/>
        <v>440</v>
      </c>
    </row>
    <row r="32" spans="1:7" ht="18.75">
      <c r="A32" s="16">
        <v>31</v>
      </c>
      <c r="B32" s="67" t="s">
        <v>311</v>
      </c>
      <c r="C32" s="62" t="s">
        <v>275</v>
      </c>
      <c r="D32" s="62" t="s">
        <v>312</v>
      </c>
      <c r="E32" s="63"/>
      <c r="F32" s="63">
        <v>510</v>
      </c>
      <c r="G32" s="64">
        <f t="shared" si="0"/>
        <v>510</v>
      </c>
    </row>
    <row r="33" spans="1:7" ht="18.75">
      <c r="A33" s="16">
        <v>32</v>
      </c>
      <c r="B33" s="67" t="s">
        <v>313</v>
      </c>
      <c r="C33" s="65" t="s">
        <v>314</v>
      </c>
      <c r="D33" s="65" t="s">
        <v>274</v>
      </c>
      <c r="E33" s="63"/>
      <c r="F33" s="63">
        <v>905</v>
      </c>
      <c r="G33" s="64">
        <f t="shared" si="0"/>
        <v>905</v>
      </c>
    </row>
    <row r="34" spans="1:7" ht="18.75">
      <c r="A34" s="16">
        <v>33</v>
      </c>
      <c r="B34" s="68" t="s">
        <v>315</v>
      </c>
      <c r="C34" s="65" t="s">
        <v>316</v>
      </c>
      <c r="D34" s="65" t="s">
        <v>317</v>
      </c>
      <c r="E34" s="63"/>
      <c r="F34" s="63">
        <v>1000</v>
      </c>
      <c r="G34" s="64">
        <f t="shared" si="0"/>
        <v>1000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G9"/>
  <sheetViews>
    <sheetView workbookViewId="0">
      <selection activeCell="C12" sqref="C12"/>
    </sheetView>
  </sheetViews>
  <sheetFormatPr defaultColWidth="9" defaultRowHeight="15"/>
  <cols>
    <col min="1" max="1" width="6" style="15" customWidth="1"/>
    <col min="2" max="2" width="16.140625" style="15" customWidth="1"/>
    <col min="3" max="3" width="38.85546875" customWidth="1"/>
    <col min="4" max="4" width="24" customWidth="1"/>
    <col min="5" max="5" width="35.85546875" customWidth="1"/>
    <col min="6" max="6" width="18" style="23" customWidth="1"/>
    <col min="7" max="7" width="16" style="15" customWidth="1"/>
  </cols>
  <sheetData>
    <row r="1" spans="1:7" ht="27.95" customHeight="1">
      <c r="A1" s="70" t="s">
        <v>0</v>
      </c>
      <c r="B1" s="70" t="s">
        <v>31</v>
      </c>
      <c r="C1" s="70" t="s">
        <v>37</v>
      </c>
      <c r="D1" s="70" t="s">
        <v>38</v>
      </c>
      <c r="E1" s="70" t="s">
        <v>39</v>
      </c>
      <c r="F1" s="71" t="s">
        <v>34</v>
      </c>
      <c r="G1" s="70" t="s">
        <v>35</v>
      </c>
    </row>
    <row r="2" spans="1:7" ht="16.5" customHeight="1">
      <c r="A2" s="72">
        <v>1</v>
      </c>
      <c r="B2" s="73">
        <v>46206</v>
      </c>
      <c r="C2" s="74" t="s">
        <v>128</v>
      </c>
      <c r="D2" s="75" t="s">
        <v>40</v>
      </c>
      <c r="E2" s="76" t="s">
        <v>319</v>
      </c>
      <c r="F2" s="81">
        <v>1000</v>
      </c>
      <c r="G2" s="72" t="s">
        <v>36</v>
      </c>
    </row>
    <row r="3" spans="1:7" ht="16.5" customHeight="1">
      <c r="A3" s="72">
        <v>2</v>
      </c>
      <c r="B3" s="73">
        <v>46210</v>
      </c>
      <c r="C3" s="74" t="s">
        <v>128</v>
      </c>
      <c r="D3" s="75" t="s">
        <v>40</v>
      </c>
      <c r="E3" s="77" t="s">
        <v>320</v>
      </c>
      <c r="F3" s="81">
        <v>300</v>
      </c>
      <c r="G3" s="72" t="s">
        <v>36</v>
      </c>
    </row>
    <row r="4" spans="1:7" ht="16.5" customHeight="1">
      <c r="A4" s="72">
        <v>3</v>
      </c>
      <c r="B4" s="73">
        <v>46210</v>
      </c>
      <c r="C4" s="74" t="s">
        <v>128</v>
      </c>
      <c r="D4" s="75" t="s">
        <v>40</v>
      </c>
      <c r="E4" s="76" t="s">
        <v>319</v>
      </c>
      <c r="F4" s="81">
        <v>1000</v>
      </c>
      <c r="G4" s="72" t="s">
        <v>36</v>
      </c>
    </row>
    <row r="5" spans="1:7" ht="16.5" customHeight="1">
      <c r="A5" s="72">
        <v>4</v>
      </c>
      <c r="B5" s="73">
        <v>46217</v>
      </c>
      <c r="C5" s="74" t="s">
        <v>128</v>
      </c>
      <c r="D5" s="75" t="s">
        <v>40</v>
      </c>
      <c r="E5" s="77" t="s">
        <v>320</v>
      </c>
      <c r="F5" s="81">
        <v>500</v>
      </c>
      <c r="G5" s="72" t="s">
        <v>36</v>
      </c>
    </row>
    <row r="6" spans="1:7" ht="16.5" customHeight="1">
      <c r="A6" s="72">
        <v>5</v>
      </c>
      <c r="B6" s="73">
        <v>46220</v>
      </c>
      <c r="C6" s="74" t="s">
        <v>129</v>
      </c>
      <c r="D6" s="75" t="s">
        <v>40</v>
      </c>
      <c r="E6" s="77" t="s">
        <v>321</v>
      </c>
      <c r="F6" s="81">
        <v>1000</v>
      </c>
      <c r="G6" s="72" t="s">
        <v>36</v>
      </c>
    </row>
    <row r="7" spans="1:7" ht="16.5" customHeight="1">
      <c r="A7" s="72">
        <v>6</v>
      </c>
      <c r="B7" s="73">
        <v>46224</v>
      </c>
      <c r="C7" s="74" t="s">
        <v>318</v>
      </c>
      <c r="D7" s="75" t="s">
        <v>40</v>
      </c>
      <c r="E7" s="77" t="s">
        <v>322</v>
      </c>
      <c r="F7" s="81">
        <v>2000</v>
      </c>
      <c r="G7" s="72" t="s">
        <v>36</v>
      </c>
    </row>
    <row r="8" spans="1:7" ht="16.5" customHeight="1">
      <c r="A8" s="72">
        <v>7</v>
      </c>
      <c r="B8" s="73">
        <v>46231</v>
      </c>
      <c r="C8" s="74" t="s">
        <v>128</v>
      </c>
      <c r="D8" s="75" t="s">
        <v>40</v>
      </c>
      <c r="E8" s="77" t="s">
        <v>323</v>
      </c>
      <c r="F8" s="81">
        <v>300</v>
      </c>
      <c r="G8" s="72" t="s">
        <v>36</v>
      </c>
    </row>
    <row r="9" spans="1:7">
      <c r="A9" s="78"/>
      <c r="B9" s="78"/>
      <c r="C9" s="79"/>
      <c r="D9" s="79"/>
      <c r="E9" s="79"/>
      <c r="F9" s="80"/>
      <c r="G9" s="78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A1:C8"/>
  <sheetViews>
    <sheetView workbookViewId="0">
      <selection activeCell="B15" sqref="B15"/>
    </sheetView>
  </sheetViews>
  <sheetFormatPr defaultColWidth="9" defaultRowHeight="15"/>
  <cols>
    <col min="1" max="1" width="35" customWidth="1"/>
    <col min="2" max="2" width="32" customWidth="1"/>
    <col min="3" max="3" width="22" style="4" customWidth="1"/>
  </cols>
  <sheetData>
    <row r="1" spans="1:3" ht="27.95" customHeight="1">
      <c r="A1" s="5" t="s">
        <v>41</v>
      </c>
      <c r="B1" s="5" t="s">
        <v>42</v>
      </c>
      <c r="C1" s="6" t="s">
        <v>34</v>
      </c>
    </row>
    <row r="2" spans="1:3" s="1" customFormat="1">
      <c r="A2" s="7" t="s">
        <v>43</v>
      </c>
      <c r="B2" s="7" t="s">
        <v>44</v>
      </c>
      <c r="C2" s="8">
        <f>SUM('To''lovlar'!G2:H121)</f>
        <v>76217</v>
      </c>
    </row>
    <row r="3" spans="1:3">
      <c r="A3" s="9" t="s">
        <v>45</v>
      </c>
      <c r="B3" s="9" t="s">
        <v>46</v>
      </c>
      <c r="C3" s="10">
        <f>SUM('O''qituvchilar Oyligi'!D11:D16)</f>
        <v>12956.89</v>
      </c>
    </row>
    <row r="4" spans="1:3">
      <c r="A4" s="9" t="s">
        <v>47</v>
      </c>
      <c r="B4" s="9" t="s">
        <v>48</v>
      </c>
      <c r="C4" s="10">
        <f>SUM('Markaz Xarajatlari'!E2:G34)</f>
        <v>78906</v>
      </c>
    </row>
    <row r="5" spans="1:3">
      <c r="A5" s="9" t="s">
        <v>49</v>
      </c>
      <c r="B5" s="9" t="s">
        <v>50</v>
      </c>
      <c r="C5" s="10">
        <f>SUM('Founder Xarajatlari'!F2:F8)</f>
        <v>6100</v>
      </c>
    </row>
    <row r="6" spans="1:3">
      <c r="A6" s="9" t="s">
        <v>51</v>
      </c>
      <c r="B6" s="9" t="s">
        <v>52</v>
      </c>
      <c r="C6" s="10" t="s">
        <v>53</v>
      </c>
    </row>
    <row r="7" spans="1:3" s="2" customFormat="1">
      <c r="A7" s="11" t="s">
        <v>54</v>
      </c>
      <c r="B7" s="11" t="s">
        <v>55</v>
      </c>
      <c r="C7" s="12">
        <f>C3+C4+C5</f>
        <v>97962.89</v>
      </c>
    </row>
    <row r="8" spans="1:3" s="3" customFormat="1" ht="15.75">
      <c r="A8" s="13" t="s">
        <v>56</v>
      </c>
      <c r="B8" s="13" t="s">
        <v>57</v>
      </c>
      <c r="C8" s="14">
        <f>C2-C7</f>
        <v>-21745.89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To'lovlar</vt:lpstr>
      <vt:lpstr>O'qituvchilar Oyligi</vt:lpstr>
      <vt:lpstr>Markaz Xarajatlari</vt:lpstr>
      <vt:lpstr>Founder Xarajatlari</vt:lpstr>
      <vt:lpstr>Moliya Xulosasi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EduFinance CRM</dc:creator>
  <cp:lastModifiedBy>lazizjon abdullayev</cp:lastModifiedBy>
  <dcterms:created xsi:type="dcterms:W3CDTF">2026-09-15T08:03:00Z</dcterms:created>
  <dcterms:modified xsi:type="dcterms:W3CDTF">2026-09-23T13:46:20Z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8CA182C7223A41D5BDEFFD179B6E6B07_12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