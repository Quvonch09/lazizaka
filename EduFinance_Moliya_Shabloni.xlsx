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'lovlar" state="visible" r:id="rId4"/>
    <sheet sheetId="2" name="O'qituvchilar Oyligi" state="visible" r:id="rId5"/>
    <sheet sheetId="3" name="Markaz Xarajatlari" state="visible" r:id="rId6"/>
    <sheet sheetId="4" name="Founder Xarajatlari" state="visible" r:id="rId7"/>
    <sheet sheetId="5" name="Moliya Xulosasi" state="visible" r:id="rId8"/>
  </sheets>
  <calcPr calcId="171027"/>
</workbook>
</file>

<file path=xl/sharedStrings.xml><?xml version="1.0" encoding="utf-8"?>
<sst xmlns="http://schemas.openxmlformats.org/spreadsheetml/2006/main" count="155" uniqueCount="119">
  <si>
    <t>№</t>
  </si>
  <si>
    <t>O'quvchi I.F.O</t>
  </si>
  <si>
    <t>Telefon (Oila)</t>
  </si>
  <si>
    <t>Telefon (O'ziniki)</t>
  </si>
  <si>
    <t>Guruh</t>
  </si>
  <si>
    <t>Oylik To'lov</t>
  </si>
  <si>
    <t>Naqd</t>
  </si>
  <si>
    <t>Click / Karta</t>
  </si>
  <si>
    <t>Qoldiq (Qarz)</t>
  </si>
  <si>
    <t>To'lov Sanasi</t>
  </si>
  <si>
    <t>Izoh</t>
  </si>
  <si>
    <t>Abdullayev Jasur</t>
  </si>
  <si>
    <t>+998901234567</t>
  </si>
  <si>
    <t>+998991234567</t>
  </si>
  <si>
    <t>Python-7</t>
  </si>
  <si>
    <t>2026-08-05</t>
  </si>
  <si>
    <t>To'liq to'langan</t>
  </si>
  <si>
    <t>Karimova Shahnoza</t>
  </si>
  <si>
    <t>+998935554433</t>
  </si>
  <si>
    <t>+998947778899</t>
  </si>
  <si>
    <t>AI-1</t>
  </si>
  <si>
    <t>2026-08-10</t>
  </si>
  <si>
    <t>Man olmaganman</t>
  </si>
  <si>
    <t>Rustamov Farxod</t>
  </si>
  <si>
    <t>+998912223344</t>
  </si>
  <si>
    <t>+998971112233</t>
  </si>
  <si>
    <t>Fullstack-2</t>
  </si>
  <si>
    <t>2026-08-12</t>
  </si>
  <si>
    <t>Qisman tolov</t>
  </si>
  <si>
    <t>Xamidova Mohira</t>
  </si>
  <si>
    <t>+998908889900</t>
  </si>
  <si>
    <t>+998933334455</t>
  </si>
  <si>
    <t>Java-10</t>
  </si>
  <si>
    <t>2026-08-14</t>
  </si>
  <si>
    <t>Click tolov</t>
  </si>
  <si>
    <t>Luqmonov Kamron</t>
  </si>
  <si>
    <t>+998941113355</t>
  </si>
  <si>
    <t>+998909998877</t>
  </si>
  <si>
    <t>Foundation-80</t>
  </si>
  <si>
    <t>2026-08-15</t>
  </si>
  <si>
    <t>3 oylik oldindan tolov</t>
  </si>
  <si>
    <t>Xodim F.I.O</t>
  </si>
  <si>
    <t>Lavozim / Yo'nalish</t>
  </si>
  <si>
    <t>Asosiy Oylik (Stavka)</t>
  </si>
  <si>
    <t>Ulush / Foiz (%)</t>
  </si>
  <si>
    <t>Berilgan Avans</t>
  </si>
  <si>
    <t>Oldingi Oydan Qarz</t>
  </si>
  <si>
    <t>Oshxona (Tushlik)</t>
  </si>
  <si>
    <t>Qo'lga Tegadigan Jami</t>
  </si>
  <si>
    <t>To'langan Sana</t>
  </si>
  <si>
    <t>Raxmatullayev Bobur</t>
  </si>
  <si>
    <t>Katta Ustoz (Python)</t>
  </si>
  <si>
    <t>Avgust oyligi</t>
  </si>
  <si>
    <t>Saidova Nigora</t>
  </si>
  <si>
    <t>Administrator</t>
  </si>
  <si>
    <t>Ismoilov Jaxongir</t>
  </si>
  <si>
    <t>Ustoz (Java)</t>
  </si>
  <si>
    <t>Tursunova Dildora</t>
  </si>
  <si>
    <t>Farrosh / Xo'jalik</t>
  </si>
  <si>
    <t>Sana</t>
  </si>
  <si>
    <t>Xarajat Kategoriyasi</t>
  </si>
  <si>
    <t>Kimga / Qayerga</t>
  </si>
  <si>
    <t>Izoh / Nima Uchun</t>
  </si>
  <si>
    <t>Summa</t>
  </si>
  <si>
    <t>To'lov Turi</t>
  </si>
  <si>
    <t>2026-08-01</t>
  </si>
  <si>
    <t>Bino va Ijara</t>
  </si>
  <si>
    <t>Bino egasiga</t>
  </si>
  <si>
    <t>1 oylik bino arendasi to'lovi</t>
  </si>
  <si>
    <t>2026-08-03</t>
  </si>
  <si>
    <t>Kommunal (Svet/Gaz)</t>
  </si>
  <si>
    <t>Elektr tarmoqlari</t>
  </si>
  <si>
    <t>Iyul oyi svet iste'moli</t>
  </si>
  <si>
    <t>Click</t>
  </si>
  <si>
    <t>Internet va IT</t>
  </si>
  <si>
    <t>Uztelecom</t>
  </si>
  <si>
    <t>Optika internet to'lovi</t>
  </si>
  <si>
    <t>2026-08-08</t>
  </si>
  <si>
    <t>Reklama va Target</t>
  </si>
  <si>
    <t>Instagram Target</t>
  </si>
  <si>
    <t>Yangi guruhlar uchun reklama</t>
  </si>
  <si>
    <t>Kantselyariya va Jihoz</t>
  </si>
  <si>
    <t>Kantselyariya do'koni</t>
  </si>
  <si>
    <t>Marker, doska gubkasi va qog'oz</t>
  </si>
  <si>
    <t>Ichimlik suvi ta'minoti</t>
  </si>
  <si>
    <t>Kuller uchun 10 ta suv</t>
  </si>
  <si>
    <t>Ta'sischi Ismi</t>
  </si>
  <si>
    <t>Xarajat Maqsadi</t>
  </si>
  <si>
    <t>Izoh / Tafsilot</t>
  </si>
  <si>
    <t>2026-08-11</t>
  </si>
  <si>
    <t>Raxmatullayev Shaxrixon</t>
  </si>
  <si>
    <t>Founder xarajatlariga</t>
  </si>
  <si>
    <t>Shaxsiy ehtiyojlar uchun</t>
  </si>
  <si>
    <t>Yo'l xarajatlariga</t>
  </si>
  <si>
    <t>Qo`ziboyev Javoxir</t>
  </si>
  <si>
    <t>Founder xarajati</t>
  </si>
  <si>
    <t>Zarur ehtiyoj uchun click qilindi</t>
  </si>
  <si>
    <t>Elnur orqali berilgan</t>
  </si>
  <si>
    <t>2026-08-20</t>
  </si>
  <si>
    <t>Bobomurodov Laziz</t>
  </si>
  <si>
    <t>Loyiha dividenti</t>
  </si>
  <si>
    <t>Markaz daromadidan ta'sischi ulushi</t>
  </si>
  <si>
    <t>Korsatkich / Bolim</t>
  </si>
  <si>
    <t>Formula / Hisob-kitob</t>
  </si>
  <si>
    <t>1. JAMI KIRIM (O'quvchilar To'lovlari)</t>
  </si>
  <si>
    <t>='To'lovlar'!G2:H6 yig'indisi</t>
  </si>
  <si>
    <t>2. JAMI O'QITUVCHILAR OYLIGI</t>
  </si>
  <si>
    <t>='O'qituvchilar Oyligi'!I2:I1000</t>
  </si>
  <si>
    <t>3. JAMI MARKAZ OPERATSION XARAJATLARI</t>
  </si>
  <si>
    <t>='Markaz Xarajatlari'!F2:F1000</t>
  </si>
  <si>
    <t>4. JAMI FOUNDER XARAJATLARI</t>
  </si>
  <si>
    <t>='Founder Xarajatlari'!F2:F1000</t>
  </si>
  <si>
    <t>----------------------------------------</t>
  </si>
  <si>
    <t>------------------------------</t>
  </si>
  <si>
    <t>---------------------</t>
  </si>
  <si>
    <t>5. JAMI XARAJATLAR (CHIQIM)</t>
  </si>
  <si>
    <t>=2 + 3 + 4</t>
  </si>
  <si>
    <t>6. SOF FOYDA (NET PROFIT)</t>
  </si>
  <si>
    <t>=1 - 5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</si>
</sst>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so'm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47857"/>
    </font>
    <font>
      <b/>
      <color rgb="FFB91C1C"/>
    </font>
    <font>
      <b/>
      <color rgb="FF15803D"/>
      <sz val="12"/>
    </font>
  </fonts>
  <fills count="7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D97706"/>
      </patternFill>
    </fill>
    <fill>
      <patternFill patternType="solid">
        <fgColor rgb="FF6D28D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right" vertical="center"/>
    </xf>
    <xf numFmtId="9" fontId="1" fillId="3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6"/>
  <sheetFormatPr defaultRowHeight="15" outlineLevelRow="0" outlineLevelCol="0" x14ac:dyDescent="55"/>
  <cols>
    <col min="1" max="1" width="6" style="1" customWidth="1"/>
    <col min="2" max="2" width="28" customWidth="1"/>
    <col min="3" max="4" width="18" customWidth="1"/>
    <col min="5" max="5" width="16" customWidth="1"/>
    <col min="6" max="6" width="16" style="2" customWidth="1"/>
    <col min="7" max="8" width="15" style="2" customWidth="1"/>
    <col min="9" max="9" width="16" style="2" customWidth="1"/>
    <col min="10" max="10" width="15" style="1" customWidth="1"/>
    <col min="11" max="11" width="25" customWidth="1"/>
  </cols>
  <sheetData>
    <row r="1" ht="28" customHeight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</row>
    <row r="2" spans="1:11" x14ac:dyDescent="0.25">
      <c r="A2" s="5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750000</v>
      </c>
      <c r="G2" s="7">
        <v>400000</v>
      </c>
      <c r="H2" s="7">
        <v>350000</v>
      </c>
      <c r="I2" s="7">
        <f>F2-(G2+H2)</f>
      </c>
      <c r="J2" s="5" t="s">
        <v>15</v>
      </c>
      <c r="K2" s="6" t="s">
        <v>16</v>
      </c>
    </row>
    <row r="3" spans="1:11" x14ac:dyDescent="0.25">
      <c r="A3" s="5">
        <v>2</v>
      </c>
      <c r="B3" s="6" t="s">
        <v>17</v>
      </c>
      <c r="C3" s="6" t="s">
        <v>18</v>
      </c>
      <c r="D3" s="6" t="s">
        <v>19</v>
      </c>
      <c r="E3" s="6" t="s">
        <v>20</v>
      </c>
      <c r="F3" s="7">
        <v>800000</v>
      </c>
      <c r="G3" s="7">
        <v>0</v>
      </c>
      <c r="H3" s="7">
        <v>0</v>
      </c>
      <c r="I3" s="7">
        <f>F3-(G3+H3)</f>
      </c>
      <c r="J3" s="5" t="s">
        <v>21</v>
      </c>
      <c r="K3" s="6" t="s">
        <v>22</v>
      </c>
    </row>
    <row r="4" spans="1:11" x14ac:dyDescent="0.25">
      <c r="A4" s="5">
        <v>3</v>
      </c>
      <c r="B4" s="6" t="s">
        <v>23</v>
      </c>
      <c r="C4" s="6" t="s">
        <v>24</v>
      </c>
      <c r="D4" s="6" t="s">
        <v>25</v>
      </c>
      <c r="E4" s="6" t="s">
        <v>26</v>
      </c>
      <c r="F4" s="7">
        <v>750000</v>
      </c>
      <c r="G4" s="7">
        <v>500000</v>
      </c>
      <c r="H4" s="7">
        <v>0</v>
      </c>
      <c r="I4" s="7">
        <f>F4-(G4+H4)</f>
      </c>
      <c r="J4" s="5" t="s">
        <v>27</v>
      </c>
      <c r="K4" s="6" t="s">
        <v>28</v>
      </c>
    </row>
    <row r="5" spans="1:11" x14ac:dyDescent="0.25">
      <c r="A5" s="5">
        <v>4</v>
      </c>
      <c r="B5" s="6" t="s">
        <v>29</v>
      </c>
      <c r="C5" s="6" t="s">
        <v>30</v>
      </c>
      <c r="D5" s="6" t="s">
        <v>31</v>
      </c>
      <c r="E5" s="6" t="s">
        <v>32</v>
      </c>
      <c r="F5" s="7">
        <v>700000</v>
      </c>
      <c r="G5" s="7">
        <v>0</v>
      </c>
      <c r="H5" s="7">
        <v>700000</v>
      </c>
      <c r="I5" s="7">
        <f>F5-(G5+H5)</f>
      </c>
      <c r="J5" s="5" t="s">
        <v>33</v>
      </c>
      <c r="K5" s="6" t="s">
        <v>34</v>
      </c>
    </row>
    <row r="6" spans="1:11" x14ac:dyDescent="0.25">
      <c r="A6" s="5">
        <v>5</v>
      </c>
      <c r="B6" s="6" t="s">
        <v>35</v>
      </c>
      <c r="C6" s="6" t="s">
        <v>36</v>
      </c>
      <c r="D6" s="6" t="s">
        <v>37</v>
      </c>
      <c r="E6" s="6" t="s">
        <v>38</v>
      </c>
      <c r="F6" s="7">
        <v>650000</v>
      </c>
      <c r="G6" s="7">
        <v>1950000</v>
      </c>
      <c r="H6" s="7">
        <v>0</v>
      </c>
      <c r="I6" s="7">
        <f>F6-(G6+H6)</f>
      </c>
      <c r="J6" s="5" t="s">
        <v>39</v>
      </c>
      <c r="K6" s="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5"/>
  <sheetFormatPr defaultRowHeight="15" outlineLevelRow="0" outlineLevelCol="0" x14ac:dyDescent="55"/>
  <cols>
    <col min="1" max="1" width="6" style="1" customWidth="1"/>
    <col min="2" max="2" width="28" customWidth="1"/>
    <col min="3" max="3" width="22" customWidth="1"/>
    <col min="4" max="4" width="20" style="2" customWidth="1"/>
    <col min="5" max="5" width="15" style="8" customWidth="1"/>
    <col min="6" max="6" width="16" style="2" customWidth="1"/>
    <col min="7" max="7" width="18" style="2" customWidth="1"/>
    <col min="8" max="8" width="16" style="2" customWidth="1"/>
    <col min="9" max="9" width="22" style="2" customWidth="1"/>
    <col min="10" max="10" width="15" style="1" customWidth="1"/>
    <col min="11" max="11" width="25" customWidth="1"/>
  </cols>
  <sheetData>
    <row r="1" ht="28" customHeight="1" spans="1:11" x14ac:dyDescent="0.25">
      <c r="A1" s="9" t="s">
        <v>0</v>
      </c>
      <c r="B1" s="9" t="s">
        <v>41</v>
      </c>
      <c r="C1" s="9" t="s">
        <v>42</v>
      </c>
      <c r="D1" s="10" t="s">
        <v>43</v>
      </c>
      <c r="E1" s="11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9" t="s">
        <v>49</v>
      </c>
      <c r="K1" s="9" t="s">
        <v>10</v>
      </c>
    </row>
    <row r="2" spans="1:11" x14ac:dyDescent="0.25">
      <c r="A2" s="5">
        <v>1</v>
      </c>
      <c r="B2" s="6" t="s">
        <v>50</v>
      </c>
      <c r="C2" s="6" t="s">
        <v>51</v>
      </c>
      <c r="D2" s="7">
        <v>6000000</v>
      </c>
      <c r="E2" s="12">
        <v>0.4</v>
      </c>
      <c r="F2" s="7">
        <v>1500000</v>
      </c>
      <c r="G2" s="7">
        <v>0</v>
      </c>
      <c r="H2" s="7">
        <v>200000</v>
      </c>
      <c r="I2" s="7">
        <f>D2+G2-F2-H2</f>
      </c>
      <c r="J2" s="5" t="s">
        <v>15</v>
      </c>
      <c r="K2" s="6" t="s">
        <v>52</v>
      </c>
    </row>
    <row r="3" spans="1:11" x14ac:dyDescent="0.25">
      <c r="A3" s="5">
        <v>2</v>
      </c>
      <c r="B3" s="6" t="s">
        <v>53</v>
      </c>
      <c r="C3" s="6" t="s">
        <v>54</v>
      </c>
      <c r="D3" s="7">
        <v>3500000</v>
      </c>
      <c r="E3" s="12">
        <v>0</v>
      </c>
      <c r="F3" s="7">
        <v>500000</v>
      </c>
      <c r="G3" s="7">
        <v>0</v>
      </c>
      <c r="H3" s="7">
        <v>150000</v>
      </c>
      <c r="I3" s="7">
        <f>D3+G3-F3-H3</f>
      </c>
      <c r="J3" s="5" t="s">
        <v>15</v>
      </c>
      <c r="K3" s="6" t="s">
        <v>52</v>
      </c>
    </row>
    <row r="4" spans="1:11" x14ac:dyDescent="0.25">
      <c r="A4" s="5">
        <v>3</v>
      </c>
      <c r="B4" s="6" t="s">
        <v>55</v>
      </c>
      <c r="C4" s="6" t="s">
        <v>56</v>
      </c>
      <c r="D4" s="7">
        <v>5500000</v>
      </c>
      <c r="E4" s="12">
        <v>0.4</v>
      </c>
      <c r="F4" s="7">
        <v>1000000</v>
      </c>
      <c r="G4" s="7">
        <v>0</v>
      </c>
      <c r="H4" s="7">
        <v>200000</v>
      </c>
      <c r="I4" s="7">
        <f>D4+G4-F4-H4</f>
      </c>
      <c r="J4" s="5" t="s">
        <v>15</v>
      </c>
      <c r="K4" s="6" t="s">
        <v>52</v>
      </c>
    </row>
    <row r="5" spans="1:11" x14ac:dyDescent="0.25">
      <c r="A5" s="5">
        <v>4</v>
      </c>
      <c r="B5" s="6" t="s">
        <v>57</v>
      </c>
      <c r="C5" s="6" t="s">
        <v>58</v>
      </c>
      <c r="D5" s="7">
        <v>2000000</v>
      </c>
      <c r="E5" s="12">
        <v>0</v>
      </c>
      <c r="F5" s="7">
        <v>0</v>
      </c>
      <c r="G5" s="7">
        <v>0</v>
      </c>
      <c r="H5" s="7">
        <v>50000</v>
      </c>
      <c r="I5" s="7">
        <f>D5+G5-F5-H5</f>
      </c>
      <c r="J5" s="5" t="s">
        <v>15</v>
      </c>
      <c r="K5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G7"/>
  <sheetFormatPr defaultRowHeight="15" outlineLevelRow="0" outlineLevelCol="0" x14ac:dyDescent="55"/>
  <cols>
    <col min="1" max="1" width="6" style="1" customWidth="1"/>
    <col min="2" max="2" width="14" style="1" customWidth="1"/>
    <col min="3" max="3" width="22" customWidth="1"/>
    <col min="4" max="4" width="25" customWidth="1"/>
    <col min="5" max="5" width="30" customWidth="1"/>
    <col min="6" max="6" width="18" style="2" customWidth="1"/>
    <col min="7" max="7" width="16" style="1" customWidth="1"/>
  </cols>
  <sheetData>
    <row r="1" ht="28" customHeight="1" spans="1:7" x14ac:dyDescent="0.25">
      <c r="A1" s="13" t="s">
        <v>0</v>
      </c>
      <c r="B1" s="13" t="s">
        <v>59</v>
      </c>
      <c r="C1" s="13" t="s">
        <v>60</v>
      </c>
      <c r="D1" s="13" t="s">
        <v>61</v>
      </c>
      <c r="E1" s="13" t="s">
        <v>62</v>
      </c>
      <c r="F1" s="14" t="s">
        <v>63</v>
      </c>
      <c r="G1" s="13" t="s">
        <v>64</v>
      </c>
    </row>
    <row r="2" spans="1:7" x14ac:dyDescent="0.25">
      <c r="A2" s="5">
        <v>1</v>
      </c>
      <c r="B2" s="5" t="s">
        <v>65</v>
      </c>
      <c r="C2" s="6" t="s">
        <v>66</v>
      </c>
      <c r="D2" s="6" t="s">
        <v>67</v>
      </c>
      <c r="E2" s="6" t="s">
        <v>68</v>
      </c>
      <c r="F2" s="7">
        <v>12000000</v>
      </c>
      <c r="G2" s="5" t="s">
        <v>6</v>
      </c>
    </row>
    <row r="3" spans="1:7" x14ac:dyDescent="0.25">
      <c r="A3" s="5">
        <v>2</v>
      </c>
      <c r="B3" s="5" t="s">
        <v>69</v>
      </c>
      <c r="C3" s="6" t="s">
        <v>70</v>
      </c>
      <c r="D3" s="6" t="s">
        <v>71</v>
      </c>
      <c r="E3" s="6" t="s">
        <v>72</v>
      </c>
      <c r="F3" s="7">
        <v>1850000</v>
      </c>
      <c r="G3" s="5" t="s">
        <v>73</v>
      </c>
    </row>
    <row r="4" spans="1:7" x14ac:dyDescent="0.25">
      <c r="A4" s="5">
        <v>3</v>
      </c>
      <c r="B4" s="5" t="s">
        <v>15</v>
      </c>
      <c r="C4" s="6" t="s">
        <v>74</v>
      </c>
      <c r="D4" s="6" t="s">
        <v>75</v>
      </c>
      <c r="E4" s="6" t="s">
        <v>76</v>
      </c>
      <c r="F4" s="7">
        <v>450000</v>
      </c>
      <c r="G4" s="5" t="s">
        <v>73</v>
      </c>
    </row>
    <row r="5" spans="1:7" x14ac:dyDescent="0.25">
      <c r="A5" s="5">
        <v>4</v>
      </c>
      <c r="B5" s="5" t="s">
        <v>77</v>
      </c>
      <c r="C5" s="6" t="s">
        <v>78</v>
      </c>
      <c r="D5" s="6" t="s">
        <v>79</v>
      </c>
      <c r="E5" s="6" t="s">
        <v>80</v>
      </c>
      <c r="F5" s="7">
        <v>2500000</v>
      </c>
      <c r="G5" s="5" t="s">
        <v>73</v>
      </c>
    </row>
    <row r="6" spans="1:7" x14ac:dyDescent="0.25">
      <c r="A6" s="5">
        <v>5</v>
      </c>
      <c r="B6" s="5" t="s">
        <v>27</v>
      </c>
      <c r="C6" s="6" t="s">
        <v>81</v>
      </c>
      <c r="D6" s="6" t="s">
        <v>82</v>
      </c>
      <c r="E6" s="6" t="s">
        <v>83</v>
      </c>
      <c r="F6" s="7">
        <v>350000</v>
      </c>
      <c r="G6" s="5" t="s">
        <v>6</v>
      </c>
    </row>
    <row r="7" spans="1:7" x14ac:dyDescent="0.25">
      <c r="A7" s="5">
        <v>6</v>
      </c>
      <c r="B7" s="5" t="s">
        <v>39</v>
      </c>
      <c r="C7" s="6" t="s">
        <v>70</v>
      </c>
      <c r="D7" s="6" t="s">
        <v>84</v>
      </c>
      <c r="E7" s="6" t="s">
        <v>85</v>
      </c>
      <c r="F7" s="7">
        <v>180000</v>
      </c>
      <c r="G7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G6"/>
  <sheetFormatPr defaultRowHeight="15" outlineLevelRow="0" outlineLevelCol="0" x14ac:dyDescent="55"/>
  <cols>
    <col min="1" max="1" width="6" style="1" customWidth="1"/>
    <col min="2" max="2" width="14" style="1" customWidth="1"/>
    <col min="3" max="3" width="25" customWidth="1"/>
    <col min="4" max="4" width="24" customWidth="1"/>
    <col min="5" max="5" width="32" customWidth="1"/>
    <col min="6" max="6" width="18" style="2" customWidth="1"/>
    <col min="7" max="7" width="16" style="1" customWidth="1"/>
  </cols>
  <sheetData>
    <row r="1" ht="28" customHeight="1" spans="1:7" x14ac:dyDescent="0.25">
      <c r="A1" s="15" t="s">
        <v>0</v>
      </c>
      <c r="B1" s="15" t="s">
        <v>59</v>
      </c>
      <c r="C1" s="15" t="s">
        <v>86</v>
      </c>
      <c r="D1" s="15" t="s">
        <v>87</v>
      </c>
      <c r="E1" s="15" t="s">
        <v>88</v>
      </c>
      <c r="F1" s="16" t="s">
        <v>63</v>
      </c>
      <c r="G1" s="15" t="s">
        <v>64</v>
      </c>
    </row>
    <row r="2" spans="1:7" x14ac:dyDescent="0.25">
      <c r="A2" s="5">
        <v>1</v>
      </c>
      <c r="B2" s="5" t="s">
        <v>89</v>
      </c>
      <c r="C2" s="6" t="s">
        <v>90</v>
      </c>
      <c r="D2" s="6" t="s">
        <v>91</v>
      </c>
      <c r="E2" s="6" t="s">
        <v>92</v>
      </c>
      <c r="F2" s="7">
        <v>500000</v>
      </c>
      <c r="G2" s="5" t="s">
        <v>6</v>
      </c>
    </row>
    <row r="3" spans="1:7" x14ac:dyDescent="0.25">
      <c r="A3" s="5">
        <v>2</v>
      </c>
      <c r="B3" s="5" t="s">
        <v>27</v>
      </c>
      <c r="C3" s="6" t="s">
        <v>90</v>
      </c>
      <c r="D3" s="6" t="s">
        <v>91</v>
      </c>
      <c r="E3" s="6" t="s">
        <v>93</v>
      </c>
      <c r="F3" s="7">
        <v>500000</v>
      </c>
      <c r="G3" s="5" t="s">
        <v>6</v>
      </c>
    </row>
    <row r="4" spans="1:7" x14ac:dyDescent="0.25">
      <c r="A4" s="5">
        <v>3</v>
      </c>
      <c r="B4" s="5" t="s">
        <v>33</v>
      </c>
      <c r="C4" s="6" t="s">
        <v>94</v>
      </c>
      <c r="D4" s="6" t="s">
        <v>95</v>
      </c>
      <c r="E4" s="6" t="s">
        <v>96</v>
      </c>
      <c r="F4" s="7">
        <v>500000</v>
      </c>
      <c r="G4" s="5" t="s">
        <v>73</v>
      </c>
    </row>
    <row r="5" spans="1:7" x14ac:dyDescent="0.25">
      <c r="A5" s="5">
        <v>4</v>
      </c>
      <c r="B5" s="5" t="s">
        <v>39</v>
      </c>
      <c r="C5" s="6" t="s">
        <v>90</v>
      </c>
      <c r="D5" s="6" t="s">
        <v>91</v>
      </c>
      <c r="E5" s="6" t="s">
        <v>97</v>
      </c>
      <c r="F5" s="7">
        <v>200000</v>
      </c>
      <c r="G5" s="5" t="s">
        <v>6</v>
      </c>
    </row>
    <row r="6" spans="1:7" x14ac:dyDescent="0.25">
      <c r="A6" s="5">
        <v>5</v>
      </c>
      <c r="B6" s="5" t="s">
        <v>98</v>
      </c>
      <c r="C6" s="6" t="s">
        <v>99</v>
      </c>
      <c r="D6" s="6" t="s">
        <v>100</v>
      </c>
      <c r="E6" s="6" t="s">
        <v>101</v>
      </c>
      <c r="F6" s="7">
        <v>2000000</v>
      </c>
      <c r="G6" s="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C8"/>
  <sheetFormatPr defaultRowHeight="15" outlineLevelRow="0" outlineLevelCol="0" x14ac:dyDescent="55"/>
  <cols>
    <col min="1" max="1" width="35" customWidth="1"/>
    <col min="2" max="2" width="32" customWidth="1"/>
    <col min="3" max="3" width="22" style="2" customWidth="1"/>
  </cols>
  <sheetData>
    <row r="1" ht="28" customHeight="1" spans="1:3" x14ac:dyDescent="0.25">
      <c r="A1" s="17" t="s">
        <v>102</v>
      </c>
      <c r="B1" s="17" t="s">
        <v>103</v>
      </c>
      <c r="C1" s="18" t="s">
        <v>63</v>
      </c>
    </row>
    <row r="2" spans="1:3" s="19" customFormat="1" x14ac:dyDescent="0.25">
      <c r="A2" s="20" t="s">
        <v>104</v>
      </c>
      <c r="B2" s="20" t="s">
        <v>105</v>
      </c>
      <c r="C2" s="21">
        <f>SUM('To'lovlar'!G2:H1000)</f>
      </c>
    </row>
    <row r="3" spans="1:3" x14ac:dyDescent="0.25">
      <c r="A3" s="6" t="s">
        <v>106</v>
      </c>
      <c r="B3" s="6" t="s">
        <v>107</v>
      </c>
      <c r="C3" s="7">
        <f>SUM('O'qituvchilar Oyligi'!I2:I1000)</f>
      </c>
    </row>
    <row r="4" spans="1:3" x14ac:dyDescent="0.25">
      <c r="A4" s="6" t="s">
        <v>108</v>
      </c>
      <c r="B4" s="6" t="s">
        <v>109</v>
      </c>
      <c r="C4" s="7">
        <f>SUM('Markaz Xarajatlari'!F2:F1000)</f>
      </c>
    </row>
    <row r="5" spans="1:3" x14ac:dyDescent="0.25">
      <c r="A5" s="6" t="s">
        <v>110</v>
      </c>
      <c r="B5" s="6" t="s">
        <v>111</v>
      </c>
      <c r="C5" s="7">
        <f>SUM('Founder Xarajatlari'!F2:F1000)</f>
      </c>
    </row>
    <row r="6" spans="1:3" x14ac:dyDescent="0.25">
      <c r="A6" s="6" t="s">
        <v>112</v>
      </c>
      <c r="B6" s="6" t="s">
        <v>113</v>
      </c>
      <c r="C6" s="7" t="s">
        <v>114</v>
      </c>
    </row>
    <row r="7" spans="1:3" s="22" customFormat="1" x14ac:dyDescent="0.25">
      <c r="A7" s="23" t="s">
        <v>115</v>
      </c>
      <c r="B7" s="23" t="s">
        <v>116</v>
      </c>
      <c r="C7" s="24">
        <f>C3+C4+C5</f>
      </c>
    </row>
    <row r="8" spans="1:3" s="25" customFormat="1" x14ac:dyDescent="0.25">
      <c r="A8" s="26" t="s">
        <v>117</v>
      </c>
      <c r="B8" s="26" t="s">
        <v>118</v>
      </c>
      <c r="C8" s="27">
        <f>C2-C7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To'lovlar</vt:lpstr>
      <vt:lpstr>O'qituvchilar Oyligi</vt:lpstr>
      <vt:lpstr>Markaz Xarajatlari</vt:lpstr>
      <vt:lpstr>Founder Xarajatlari</vt:lpstr>
      <vt:lpstr>Moliya Xulosasi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EduFinance CRM</dc:creator>
  <dc:title/>
  <dc:subject/>
  <dc:description/>
  <cp:keywords/>
  <cp:category/>
  <cp:lastModifiedBy>EduFinance CRM</cp:lastModifiedBy>
  <dcterms:created xsi:type="dcterms:W3CDTF">2026-09-15T08:03:20Z</dcterms:created>
  <dcterms:modified xsi:type="dcterms:W3CDTF">2026-09-15T08:03:20Z</dcterms:modified>
</cp:coreProperties>
</file>