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To'lovlar" sheetId="1" r:id="rId1"/>
    <sheet name="O'qituvchilar Oyligi" sheetId="2" r:id="rId2"/>
    <sheet name="Markaz Xarajatlari" sheetId="3" r:id="rId3"/>
    <sheet name="Founder Xarajatlari" sheetId="4" r:id="rId4"/>
    <sheet name="Moliya Xulosas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<sst xmlns="http://schemas.openxmlformats.org/spreadsheetml/2006/main" count="320" uniqueCount="229">
  <si>
    <t>№</t>
  </si>
  <si>
    <t>O'quvchi I.F.O</t>
  </si>
  <si>
    <t>Telefon (Oila)</t>
  </si>
  <si>
    <t>Telefon (O'ziniki)</t>
  </si>
  <si>
    <t>Guruh</t>
  </si>
  <si>
    <t>Oylik To'lov</t>
  </si>
  <si>
    <t>Naqd</t>
  </si>
  <si>
    <t>Click / Karta</t>
  </si>
  <si>
    <t>Qoldiq (Qarz)</t>
  </si>
  <si>
    <t>To'lov Sanasi</t>
  </si>
  <si>
    <t>Izoh</t>
  </si>
  <si>
    <t>Rustamova Jasmina</t>
  </si>
  <si>
    <t>+998901234567</t>
  </si>
  <si>
    <t>+998991234567</t>
  </si>
  <si>
    <t>Java-10</t>
  </si>
  <si>
    <t>Muyiddinov Malik</t>
  </si>
  <si>
    <t>+998935554433</t>
  </si>
  <si>
    <t>+998947778899</t>
  </si>
  <si>
    <t>Ishpo'latov Og'abek</t>
  </si>
  <si>
    <t>+998912223344</t>
  </si>
  <si>
    <t>+998971112233</t>
  </si>
  <si>
    <t>To`lov qilmagan</t>
  </si>
  <si>
    <t>Panjiyev Zafar</t>
  </si>
  <si>
    <t>+998908889900</t>
  </si>
  <si>
    <t>+998933334455</t>
  </si>
  <si>
    <t>Raimberdiyev Elnurbek</t>
  </si>
  <si>
    <t>+998941113355</t>
  </si>
  <si>
    <t>+998909998877</t>
  </si>
  <si>
    <t>Ahadov Imkon</t>
  </si>
  <si>
    <t>Java-5</t>
  </si>
  <si>
    <t>Ismoilov Ulug'bek</t>
  </si>
  <si>
    <t>Pardayev Javohir</t>
  </si>
  <si>
    <t>Saidnabiyev faridbek</t>
  </si>
  <si>
    <t>Shamsiddinova Sevinch</t>
  </si>
  <si>
    <t>Qahhorov Davlat</t>
  </si>
  <si>
    <t>Gulmurodov Firdavsbek</t>
  </si>
  <si>
    <t>Mamadaliyeva Bahor</t>
  </si>
  <si>
    <t>jovliyev Sohib</t>
  </si>
  <si>
    <t>python 6</t>
  </si>
  <si>
    <t>Pirmamatov Mexroj</t>
  </si>
  <si>
    <t>Muhammadiyev Asilbek</t>
  </si>
  <si>
    <t>Rajabov DiyOrbek</t>
  </si>
  <si>
    <t>Ruziqulov Ulug'bek</t>
  </si>
  <si>
    <t>Axmadov Abdulloh</t>
  </si>
  <si>
    <t>fullstack2</t>
  </si>
  <si>
    <t>Berdimamatov Kamoliddin</t>
  </si>
  <si>
    <t>Choriyev Ansor</t>
  </si>
  <si>
    <t>Ibragimov Quvonchbek</t>
  </si>
  <si>
    <t>Meyliyev Dilbek</t>
  </si>
  <si>
    <t>Pardabayev Sherxan</t>
  </si>
  <si>
    <t>Tursunov Diyorbek</t>
  </si>
  <si>
    <t>Muxtorov Saidbek</t>
  </si>
  <si>
    <t>java 8</t>
  </si>
  <si>
    <t>Jo'rayev Javlonbek</t>
  </si>
  <si>
    <t>Shahobiddinov Umidjon</t>
  </si>
  <si>
    <t>Xursanov Abdulloh</t>
  </si>
  <si>
    <t>Farhodov Shaxriyor</t>
  </si>
  <si>
    <t>Rahimov Rustam</t>
  </si>
  <si>
    <t>Xoliqov Ali</t>
  </si>
  <si>
    <t>Mahmadaliyev Behruz</t>
  </si>
  <si>
    <t>Odilov Alihser</t>
  </si>
  <si>
    <t xml:space="preserve"> Ro`zmurodov Shoxjahon</t>
  </si>
  <si>
    <t>G'ulomov Abdulloh</t>
  </si>
  <si>
    <t>python7</t>
  </si>
  <si>
    <t>Izzatillayeva Asal</t>
  </si>
  <si>
    <t>Ruzmatov Jasur</t>
  </si>
  <si>
    <t>Sag'diyeva Farangiz</t>
  </si>
  <si>
    <t>Ibragimov Abdusabur</t>
  </si>
  <si>
    <t>13,07,26</t>
  </si>
  <si>
    <t>Haydarov Izzat</t>
  </si>
  <si>
    <t>fullstack1</t>
  </si>
  <si>
    <t>Ismatillayev Farruh</t>
  </si>
  <si>
    <t>Sadullayev Arslon</t>
  </si>
  <si>
    <t>Abdujabborov Ansor</t>
  </si>
  <si>
    <t>Jo'rayev Asadbek</t>
  </si>
  <si>
    <t>Ikromov Aziz</t>
  </si>
  <si>
    <t>foundation_76</t>
  </si>
  <si>
    <t>Ehsonov Artur</t>
  </si>
  <si>
    <t>Roziqov Hasan</t>
  </si>
  <si>
    <t>Quziyev Quvonchbek</t>
  </si>
  <si>
    <t>Xolmirzayev Salohiddin</t>
  </si>
  <si>
    <t>Shuhratov Ibrohim</t>
  </si>
  <si>
    <t>Tursunqulova Zahro</t>
  </si>
  <si>
    <t>Bahromov Humoyun</t>
  </si>
  <si>
    <t>Bobomurodov Asadbek</t>
  </si>
  <si>
    <t>Timinov Amal</t>
  </si>
  <si>
    <t>java09</t>
  </si>
  <si>
    <t>Nortojiyev Shamshod</t>
  </si>
  <si>
    <t>Samadov Nurbek</t>
  </si>
  <si>
    <t>Husanov Akmal</t>
  </si>
  <si>
    <t>Mamatov Anvar</t>
  </si>
  <si>
    <t>Baxtiyorov Diyorbek</t>
  </si>
  <si>
    <t>Erkinov Alibek</t>
  </si>
  <si>
    <t>O'ktamov Ibrohim</t>
  </si>
  <si>
    <t>Beknazarov Sohibjon</t>
  </si>
  <si>
    <t>fullstack3</t>
  </si>
  <si>
    <t>Olimjonov Sherzod</t>
  </si>
  <si>
    <t>Olimjonov Nurjahon</t>
  </si>
  <si>
    <t>Abdurahimov Behruz</t>
  </si>
  <si>
    <t>Choriyev Ozodbek</t>
  </si>
  <si>
    <t>Ergashev Alibek</t>
  </si>
  <si>
    <t>Holboyeva Sevinch</t>
  </si>
  <si>
    <t>Turayev Bekzod</t>
  </si>
  <si>
    <t>Uralova Malika</t>
  </si>
  <si>
    <t>Qurbomov Ravshan</t>
  </si>
  <si>
    <t>Bilolbek Jumanazarov</t>
  </si>
  <si>
    <t>foundation 78</t>
  </si>
  <si>
    <t>Mamashopiv Shahriyor</t>
  </si>
  <si>
    <t>Nasimov Islombek</t>
  </si>
  <si>
    <t>Hamidov Sunnat</t>
  </si>
  <si>
    <t>Qahramonov Ahmad</t>
  </si>
  <si>
    <t xml:space="preserve">Ozodbek Suvonov </t>
  </si>
  <si>
    <t>Ahmadov Temur</t>
  </si>
  <si>
    <t>Jami</t>
  </si>
  <si>
    <t>Chiqib ketganlar</t>
  </si>
  <si>
    <t>Abdurahmonov Daler</t>
  </si>
  <si>
    <t>Najmiddinov Baxtiyor</t>
  </si>
  <si>
    <t>Inodullayev Sardor</t>
  </si>
  <si>
    <t>Muhammadjonova Munisa</t>
  </si>
  <si>
    <t>Abdullayev Ozodbek</t>
  </si>
  <si>
    <t>java 10</t>
  </si>
  <si>
    <t>Xodim F.I.O</t>
  </si>
  <si>
    <t>Lavozim / Yo'nalish</t>
  </si>
  <si>
    <t>Asosiy Oylik (Stavka)</t>
  </si>
  <si>
    <t>Ulush / Foiz (%)</t>
  </si>
  <si>
    <t>Berilgan Avans</t>
  </si>
  <si>
    <t>Oldingi Oydan Qarz</t>
  </si>
  <si>
    <t>Oshxona (Tushlik)</t>
  </si>
  <si>
    <t>Qo'lga Tegadigan Jami</t>
  </si>
  <si>
    <t>To'langan Sana</t>
  </si>
  <si>
    <t>Elnur Turdiyev</t>
  </si>
  <si>
    <t>Direktor</t>
  </si>
  <si>
    <t>Sardorbek Abduraxmonov</t>
  </si>
  <si>
    <t xml:space="preserve">Sotuvchi </t>
  </si>
  <si>
    <t>Jaxongir Dilmurodov</t>
  </si>
  <si>
    <t>SMM chi</t>
  </si>
  <si>
    <t>Umidjon Sobirov</t>
  </si>
  <si>
    <t>Videograf</t>
  </si>
  <si>
    <t xml:space="preserve">Jasmina Jo`raeva </t>
  </si>
  <si>
    <t>Administrator</t>
  </si>
  <si>
    <t xml:space="preserve">Baxora Omonova </t>
  </si>
  <si>
    <t>Farrosh</t>
  </si>
  <si>
    <t xml:space="preserve">Anjella G`aniyeva </t>
  </si>
  <si>
    <t>Uchenik Administrator</t>
  </si>
  <si>
    <t>Lazizjon Abdullayev</t>
  </si>
  <si>
    <t>Moliyachi</t>
  </si>
  <si>
    <t>Eshboyeva Parizoda</t>
  </si>
  <si>
    <t>Yordamchi sotuvchi</t>
  </si>
  <si>
    <t xml:space="preserve">Temurbek Narzullaev </t>
  </si>
  <si>
    <t>Frontent, O`qituvchi</t>
  </si>
  <si>
    <t>Quvonchbek Bobomurodob</t>
  </si>
  <si>
    <t>Java Bekent, O`qituvchi</t>
  </si>
  <si>
    <t xml:space="preserve">Muhammad Nazirqulov </t>
  </si>
  <si>
    <t>Otabek Nabiyev</t>
  </si>
  <si>
    <t>AI, O`qituvchi</t>
  </si>
  <si>
    <t xml:space="preserve">Ismat Ismoilov </t>
  </si>
  <si>
    <t>Python Bekent, O`qituvchi</t>
  </si>
  <si>
    <t xml:space="preserve">Zarina Chorshanbiyeva </t>
  </si>
  <si>
    <t>Sana</t>
  </si>
  <si>
    <t>Xarajat Kategoriyasi</t>
  </si>
  <si>
    <t>Izoh / Nima Uchun</t>
  </si>
  <si>
    <t>oldingi oy uchun</t>
  </si>
  <si>
    <t>shu oy uchun</t>
  </si>
  <si>
    <t>keyingi oy uchun</t>
  </si>
  <si>
    <t>konselar</t>
  </si>
  <si>
    <t xml:space="preserve">mayda xarajatlar </t>
  </si>
  <si>
    <t xml:space="preserve">Gullar uchun </t>
  </si>
  <si>
    <t>Markazga gul olib kelindi</t>
  </si>
  <si>
    <t>Baxora opaga</t>
  </si>
  <si>
    <t>Pol latta va xar xil sredstvalarga</t>
  </si>
  <si>
    <t xml:space="preserve">Internat </t>
  </si>
  <si>
    <t>May oyi uchun internet to`landi</t>
  </si>
  <si>
    <t xml:space="preserve">oshxona </t>
  </si>
  <si>
    <t>oldingi oy arendasiga</t>
  </si>
  <si>
    <t>Arenda</t>
  </si>
  <si>
    <t>O`quv markaz arendasi 1000$</t>
  </si>
  <si>
    <t>Iyun oyi uchun internet to`landi</t>
  </si>
  <si>
    <t xml:space="preserve">Targetga </t>
  </si>
  <si>
    <t xml:space="preserve">Targetga 69.7 $ Qolgan ekan Iyun oyi uchun </t>
  </si>
  <si>
    <t>Kassa aparati uchun</t>
  </si>
  <si>
    <t>iyungacha 300ming ekan iyul bilan 400ming</t>
  </si>
  <si>
    <t>Soliq qarzlari uchun</t>
  </si>
  <si>
    <t>Soliq qarzlari uchun penyalari bilan</t>
  </si>
  <si>
    <t xml:space="preserve">targetga to`lov qilindi man elnurga tashadim </t>
  </si>
  <si>
    <t>Suvga</t>
  </si>
  <si>
    <t>Kuller suviga 8*10</t>
  </si>
  <si>
    <t>targetga tashlandi Elnurga berdim naxt</t>
  </si>
  <si>
    <t>Svetga</t>
  </si>
  <si>
    <t>svetga to`lov qilindi</t>
  </si>
  <si>
    <t xml:space="preserve">Ustoga </t>
  </si>
  <si>
    <t xml:space="preserve">suv bochkasini yamatgani </t>
  </si>
  <si>
    <t xml:space="preserve">Elnurga tashlatdim brovni kartasidan </t>
  </si>
  <si>
    <t xml:space="preserve">Elnurga berdim </t>
  </si>
  <si>
    <t>Markaz xarajati</t>
  </si>
  <si>
    <t>Xar xil o`quv qurullari marker</t>
  </si>
  <si>
    <t xml:space="preserve">Bexruz Rashidov </t>
  </si>
  <si>
    <t xml:space="preserve">Post taxlab berdi </t>
  </si>
  <si>
    <t xml:space="preserve">Audit xulosaga </t>
  </si>
  <si>
    <t xml:space="preserve">Audit xulosa uchun </t>
  </si>
  <si>
    <t>Video studioga</t>
  </si>
  <si>
    <t>Videoga olishga Studiaga berdim</t>
  </si>
  <si>
    <t>Ta'sischi Ismi</t>
  </si>
  <si>
    <t>Xarajat Maqsadi</t>
  </si>
  <si>
    <t>Izoh / Tafsilot</t>
  </si>
  <si>
    <t>Summa</t>
  </si>
  <si>
    <t>To'lov Turi</t>
  </si>
  <si>
    <t xml:space="preserve">Shahrixon Raxmatullayev </t>
  </si>
  <si>
    <t>Founder xarajatlariga</t>
  </si>
  <si>
    <t>Shaxsiy ehtiyojlar uchun</t>
  </si>
  <si>
    <t>Click</t>
  </si>
  <si>
    <t>Javoxir Qo`ziboyev</t>
  </si>
  <si>
    <t>Founder xarajati</t>
  </si>
  <si>
    <t>Korsatkich / Bolim</t>
  </si>
  <si>
    <t>Formula / Hisob-kitob</t>
  </si>
  <si>
    <t>1. JAMI KIRIM (O'quvchilar To'lovlari)</t>
  </si>
  <si>
    <t>='To'lovlar'!G2:H6 yig'indisi</t>
  </si>
  <si>
    <t>2. JAMI O'QITUVCHILAR OYLIGI</t>
  </si>
  <si>
    <t>='O'qituvchilar Oyligi'!I2:I1000</t>
  </si>
  <si>
    <t>3. JAMI MARKAZ OPERATSION XARAJATLARI</t>
  </si>
  <si>
    <t>='Markaz Xarajatlari'!F2:F1000</t>
  </si>
  <si>
    <t>4. JAMI FOUNDER XARAJATLARI</t>
  </si>
  <si>
    <t>='Founder Xarajatlari'!F2:F1000</t>
  </si>
  <si>
    <t>----------------------------------------</t>
  </si>
  <si>
    <t>------------------------------</t>
  </si>
  <si>
    <t>---------------------</t>
  </si>
  <si>
    <t>5. JAMI XARAJATLAR (CHIQIM)</t>
  </si>
  <si>
    <t>=2 + 3 + 4</t>
  </si>
  <si>
    <t>6. SOF FOYDA (NET PROFIT)</t>
  </si>
  <si>
    <t>=1 - 5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</si>
</sst>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\ &quot;so'm&quot;"/>
    <numFmt numFmtId="179" formatCode="_ * #,##0.000_ ;_ * \-#,##0.000_ ;_ * &quot;-&quot;??_ ;_ @_ "/>
    <numFmt numFmtId="180" formatCode="_-* #,##0.000\ _₽_-;\-* #,##0.000\ _₽_-;_-* &quot;-&quot;??\ _₽_-;_-@_-"/>
    <numFmt numFmtId="181" formatCode="#,##0.000\ &quot;so'm&quot;"/>
    <numFmt numFmtId="182" formatCode="_-* #,##0.000\ _₽_-;\-* #,##0.000\ _₽_-;_-* &quot;-&quot;???\ _₽_-;_-@_-"/>
  </numFmts>
  <fonts count="27">
    <font>
      <sz val="11"/>
      <color theme="1"/>
      <name val="Calibri"/>
      <charset val="134"/>
      <scheme val="minor"/>
    </font>
    <font>
      <b/>
      <sz val="11"/>
      <color rgb="FF047857"/>
      <name val="Calibri"/>
      <charset val="134"/>
      <scheme val="minor"/>
    </font>
    <font>
      <b/>
      <sz val="11"/>
      <color rgb="FFB91C1C"/>
      <name val="Calibri"/>
      <charset val="134"/>
      <scheme val="minor"/>
    </font>
    <font>
      <b/>
      <sz val="12"/>
      <color rgb="FF15803D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theme="1"/>
      <name val="Times New Roman"/>
      <charset val="204"/>
    </font>
    <font>
      <b/>
      <sz val="11"/>
      <color theme="1"/>
      <name val="Calibri"/>
      <charset val="134"/>
      <scheme val="minor"/>
    </font>
    <font>
      <sz val="11"/>
      <color theme="1"/>
      <name val="Cambria"/>
      <charset val="20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30" applyNumberFormat="0" applyAlignment="0" applyProtection="0">
      <alignment vertical="center"/>
    </xf>
    <xf numFmtId="0" fontId="17" fillId="10" borderId="31" applyNumberFormat="0" applyAlignment="0" applyProtection="0">
      <alignment vertical="center"/>
    </xf>
    <xf numFmtId="0" fontId="18" fillId="10" borderId="30" applyNumberFormat="0" applyAlignment="0" applyProtection="0">
      <alignment vertical="center"/>
    </xf>
    <xf numFmtId="0" fontId="19" fillId="11" borderId="32" applyNumberFormat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8" fontId="0" fillId="0" borderId="0" xfId="0" applyNumberForma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/>
    <xf numFmtId="178" fontId="1" fillId="0" borderId="1" xfId="0" applyNumberFormat="1" applyFont="1" applyBorder="1" applyAlignment="1">
      <alignment horizontal="right" vertical="center"/>
    </xf>
    <xf numFmtId="0" fontId="0" fillId="0" borderId="1" xfId="0" applyBorder="1"/>
    <xf numFmtId="178" fontId="0" fillId="0" borderId="1" xfId="0" applyNumberFormat="1" applyBorder="1" applyAlignment="1">
      <alignment horizontal="right" vertical="center"/>
    </xf>
    <xf numFmtId="0" fontId="2" fillId="0" borderId="1" xfId="0" applyFont="1" applyBorder="1"/>
    <xf numFmtId="178" fontId="2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178" fontId="3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179" fontId="0" fillId="0" borderId="0" xfId="1" applyNumberFormat="1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79" fontId="4" fillId="3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58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9" fontId="0" fillId="0" borderId="1" xfId="1" applyNumberFormat="1" applyFont="1" applyBorder="1" applyAlignment="1">
      <alignment horizontal="right" vertical="center"/>
    </xf>
    <xf numFmtId="58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80" fontId="5" fillId="4" borderId="3" xfId="1" applyNumberFormat="1" applyFont="1" applyFill="1" applyBorder="1" applyAlignment="1">
      <alignment horizontal="center" vertical="center" wrapText="1"/>
    </xf>
    <xf numFmtId="58" fontId="5" fillId="0" borderId="3" xfId="0" applyNumberFormat="1" applyFont="1" applyBorder="1" applyAlignment="1">
      <alignment horizontal="center" vertical="center" wrapText="1"/>
    </xf>
    <xf numFmtId="180" fontId="5" fillId="0" borderId="3" xfId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0" fontId="6" fillId="0" borderId="3" xfId="1" applyNumberFormat="1" applyFont="1" applyBorder="1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9" fontId="4" fillId="5" borderId="1" xfId="1" applyNumberFormat="1" applyFont="1" applyFill="1" applyBorder="1" applyAlignment="1">
      <alignment horizontal="right" vertical="center"/>
    </xf>
    <xf numFmtId="179" fontId="4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9" fontId="0" fillId="0" borderId="0" xfId="3" applyFont="1" applyAlignment="1">
      <alignment horizontal="center" vertical="center"/>
    </xf>
    <xf numFmtId="179" fontId="0" fillId="0" borderId="0" xfId="1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79" fontId="4" fillId="6" borderId="8" xfId="1" applyNumberFormat="1" applyFont="1" applyFill="1" applyBorder="1" applyAlignment="1">
      <alignment horizontal="center" vertical="center"/>
    </xf>
    <xf numFmtId="181" fontId="4" fillId="6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9" fontId="7" fillId="0" borderId="3" xfId="1" applyNumberFormat="1" applyFont="1" applyFill="1" applyBorder="1" applyAlignment="1">
      <alignment horizontal="center" vertical="center" wrapText="1"/>
    </xf>
    <xf numFmtId="181" fontId="0" fillId="0" borderId="3" xfId="0" applyNumberFormat="1" applyBorder="1" applyAlignment="1">
      <alignment horizontal="center" vertical="center"/>
    </xf>
    <xf numFmtId="16" fontId="7" fillId="0" borderId="3" xfId="0" applyNumberFormat="1" applyFont="1" applyFill="1" applyBorder="1" applyAlignment="1">
      <alignment horizontal="center" vertical="center" wrapText="1"/>
    </xf>
    <xf numFmtId="58" fontId="7" fillId="0" borderId="3" xfId="0" applyNumberFormat="1" applyFont="1" applyFill="1" applyBorder="1" applyAlignment="1">
      <alignment horizontal="center" vertical="center" wrapText="1"/>
    </xf>
    <xf numFmtId="179" fontId="0" fillId="0" borderId="3" xfId="1" applyNumberFormat="1" applyFont="1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182" fontId="7" fillId="7" borderId="13" xfId="1" applyNumberFormat="1" applyFont="1" applyFill="1" applyBorder="1" applyAlignment="1">
      <alignment horizontal="center" vertical="center" wrapText="1"/>
    </xf>
    <xf numFmtId="182" fontId="7" fillId="7" borderId="12" xfId="1" applyNumberFormat="1" applyFont="1" applyFill="1" applyBorder="1" applyAlignment="1">
      <alignment horizontal="center" vertical="center" wrapText="1"/>
    </xf>
    <xf numFmtId="182" fontId="7" fillId="7" borderId="14" xfId="1" applyNumberFormat="1" applyFont="1" applyFill="1" applyBorder="1" applyAlignment="1">
      <alignment horizontal="center" vertical="center" wrapText="1"/>
    </xf>
    <xf numFmtId="182" fontId="7" fillId="7" borderId="15" xfId="1" applyNumberFormat="1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182" fontId="7" fillId="7" borderId="6" xfId="1" applyNumberFormat="1" applyFont="1" applyFill="1" applyBorder="1" applyAlignment="1">
      <alignment horizontal="center" vertical="center" wrapText="1"/>
    </xf>
    <xf numFmtId="182" fontId="7" fillId="7" borderId="2" xfId="1" applyNumberFormat="1" applyFont="1" applyFill="1" applyBorder="1" applyAlignment="1">
      <alignment horizontal="center" vertical="center" wrapText="1"/>
    </xf>
    <xf numFmtId="182" fontId="7" fillId="7" borderId="17" xfId="1" applyNumberFormat="1" applyFont="1" applyFill="1" applyBorder="1" applyAlignment="1">
      <alignment horizontal="center" vertical="center" wrapText="1"/>
    </xf>
    <xf numFmtId="182" fontId="7" fillId="7" borderId="18" xfId="1" applyNumberFormat="1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182" fontId="7" fillId="7" borderId="22" xfId="1" applyNumberFormat="1" applyFont="1" applyFill="1" applyBorder="1" applyAlignment="1">
      <alignment horizontal="center" vertical="center" wrapText="1"/>
    </xf>
    <xf numFmtId="182" fontId="7" fillId="7" borderId="21" xfId="1" applyNumberFormat="1" applyFont="1" applyFill="1" applyBorder="1" applyAlignment="1">
      <alignment horizontal="center" vertical="center" wrapText="1"/>
    </xf>
    <xf numFmtId="182" fontId="7" fillId="7" borderId="23" xfId="1" applyNumberFormat="1" applyFont="1" applyFill="1" applyBorder="1" applyAlignment="1">
      <alignment horizontal="center" vertical="center" wrapText="1"/>
    </xf>
    <xf numFmtId="182" fontId="7" fillId="7" borderId="24" xfId="1" applyNumberFormat="1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D9770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0B981"/>
  </sheetPr>
  <dimension ref="A1:K169"/>
  <sheetViews>
    <sheetView tabSelected="1" workbookViewId="0">
      <selection activeCell="C18" sqref="C18"/>
    </sheetView>
  </sheetViews>
  <sheetFormatPr defaultColWidth="9" defaultRowHeight="14.4"/>
  <cols>
    <col min="1" max="1" width="6" style="15" customWidth="1"/>
    <col min="2" max="2" width="29" style="15" customWidth="1"/>
    <col min="3" max="4" width="16.4259259259259" style="15" customWidth="1"/>
    <col min="5" max="5" width="16" style="15" customWidth="1"/>
    <col min="6" max="8" width="11.4259259259259" style="42" customWidth="1"/>
    <col min="9" max="9" width="14" style="43" customWidth="1"/>
    <col min="10" max="10" width="11.4259259259259" style="15" customWidth="1"/>
    <col min="11" max="11" width="25" style="15" customWidth="1"/>
    <col min="12" max="16384" width="9" style="15"/>
  </cols>
  <sheetData>
    <row r="1" ht="27.95" customHeight="1" spans="1:11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6" t="s">
        <v>5</v>
      </c>
      <c r="G1" s="46" t="s">
        <v>6</v>
      </c>
      <c r="H1" s="46" t="s">
        <v>7</v>
      </c>
      <c r="I1" s="47" t="s">
        <v>8</v>
      </c>
      <c r="J1" s="45" t="s">
        <v>9</v>
      </c>
      <c r="K1" s="45" t="s">
        <v>10</v>
      </c>
    </row>
    <row r="2" spans="1:11">
      <c r="A2" s="48">
        <v>1</v>
      </c>
      <c r="B2" s="49" t="s">
        <v>11</v>
      </c>
      <c r="C2" s="50" t="s">
        <v>12</v>
      </c>
      <c r="D2" s="50" t="s">
        <v>13</v>
      </c>
      <c r="E2" s="50" t="s">
        <v>14</v>
      </c>
      <c r="F2" s="51">
        <v>750</v>
      </c>
      <c r="G2" s="51">
        <v>750</v>
      </c>
      <c r="H2" s="51"/>
      <c r="I2" s="52">
        <f>F2-(G2+H2)</f>
        <v>0</v>
      </c>
      <c r="J2" s="53">
        <v>46182</v>
      </c>
      <c r="K2" s="50"/>
    </row>
    <row r="3" spans="1:11">
      <c r="A3" s="48">
        <v>2</v>
      </c>
      <c r="B3" s="49" t="s">
        <v>15</v>
      </c>
      <c r="C3" s="50" t="s">
        <v>16</v>
      </c>
      <c r="D3" s="50" t="s">
        <v>17</v>
      </c>
      <c r="E3" s="50" t="s">
        <v>14</v>
      </c>
      <c r="F3" s="51">
        <v>700</v>
      </c>
      <c r="G3" s="51">
        <v>700</v>
      </c>
      <c r="H3" s="51"/>
      <c r="I3" s="52">
        <f>F3-(G3+H3)</f>
        <v>0</v>
      </c>
      <c r="J3" s="53">
        <v>46196</v>
      </c>
      <c r="K3" s="50"/>
    </row>
    <row r="4" spans="1:11">
      <c r="A4" s="48">
        <v>3</v>
      </c>
      <c r="B4" s="49" t="s">
        <v>18</v>
      </c>
      <c r="C4" s="50" t="s">
        <v>19</v>
      </c>
      <c r="D4" s="50" t="s">
        <v>20</v>
      </c>
      <c r="E4" s="50" t="s">
        <v>14</v>
      </c>
      <c r="F4" s="51">
        <v>296</v>
      </c>
      <c r="G4" s="51"/>
      <c r="H4" s="51"/>
      <c r="I4" s="52">
        <f>F4-(G4+H4)</f>
        <v>296</v>
      </c>
      <c r="J4" s="53"/>
      <c r="K4" s="50" t="s">
        <v>21</v>
      </c>
    </row>
    <row r="5" spans="1:11">
      <c r="A5" s="48">
        <v>4</v>
      </c>
      <c r="B5" s="49" t="s">
        <v>22</v>
      </c>
      <c r="C5" s="50" t="s">
        <v>23</v>
      </c>
      <c r="D5" s="50" t="s">
        <v>24</v>
      </c>
      <c r="E5" s="50" t="s">
        <v>14</v>
      </c>
      <c r="F5" s="51">
        <v>750</v>
      </c>
      <c r="G5" s="51"/>
      <c r="H5" s="51">
        <v>750</v>
      </c>
      <c r="I5" s="52">
        <f>F5-(G5+H5)</f>
        <v>0</v>
      </c>
      <c r="J5" s="53">
        <v>46191</v>
      </c>
      <c r="K5" s="50"/>
    </row>
    <row r="6" spans="1:11">
      <c r="A6" s="48">
        <v>5</v>
      </c>
      <c r="B6" s="49" t="s">
        <v>25</v>
      </c>
      <c r="C6" s="50" t="s">
        <v>26</v>
      </c>
      <c r="D6" s="50" t="s">
        <v>27</v>
      </c>
      <c r="E6" s="50" t="s">
        <v>14</v>
      </c>
      <c r="F6" s="51">
        <v>750</v>
      </c>
      <c r="G6" s="51">
        <v>750</v>
      </c>
      <c r="H6" s="51"/>
      <c r="I6" s="52">
        <f>F6-(G6+H6)</f>
        <v>0</v>
      </c>
      <c r="J6" s="53">
        <v>46196</v>
      </c>
      <c r="K6" s="50"/>
    </row>
    <row r="7" spans="1:11">
      <c r="A7" s="48">
        <v>6</v>
      </c>
      <c r="B7" s="49" t="s">
        <v>28</v>
      </c>
      <c r="C7" s="50"/>
      <c r="D7" s="50"/>
      <c r="E7" s="50" t="s">
        <v>29</v>
      </c>
      <c r="F7" s="51">
        <v>700</v>
      </c>
      <c r="G7" s="51">
        <v>700</v>
      </c>
      <c r="H7" s="51"/>
      <c r="I7" s="52">
        <f t="shared" ref="I7:I70" si="0">F7-(G7+H7)</f>
        <v>0</v>
      </c>
      <c r="J7" s="54">
        <v>46210</v>
      </c>
      <c r="K7" s="50"/>
    </row>
    <row r="8" spans="1:11">
      <c r="A8" s="48">
        <v>7</v>
      </c>
      <c r="B8" s="49" t="s">
        <v>30</v>
      </c>
      <c r="C8" s="50"/>
      <c r="D8" s="50"/>
      <c r="E8" s="50" t="s">
        <v>29</v>
      </c>
      <c r="F8" s="51">
        <v>750</v>
      </c>
      <c r="G8" s="51">
        <v>750</v>
      </c>
      <c r="H8" s="51"/>
      <c r="I8" s="52">
        <f t="shared" si="0"/>
        <v>0</v>
      </c>
      <c r="J8" s="53">
        <v>46184</v>
      </c>
      <c r="K8" s="50"/>
    </row>
    <row r="9" spans="1:11">
      <c r="A9" s="48">
        <v>8</v>
      </c>
      <c r="B9" s="49" t="s">
        <v>31</v>
      </c>
      <c r="C9" s="50"/>
      <c r="D9" s="50"/>
      <c r="E9" s="50" t="s">
        <v>29</v>
      </c>
      <c r="F9" s="51">
        <v>750</v>
      </c>
      <c r="G9" s="51">
        <v>750</v>
      </c>
      <c r="H9" s="51"/>
      <c r="I9" s="52">
        <f t="shared" si="0"/>
        <v>0</v>
      </c>
      <c r="J9" s="53">
        <v>46196</v>
      </c>
      <c r="K9" s="50"/>
    </row>
    <row r="10" spans="1:11">
      <c r="A10" s="48">
        <v>9</v>
      </c>
      <c r="B10" s="49" t="s">
        <v>32</v>
      </c>
      <c r="C10" s="50"/>
      <c r="D10" s="50"/>
      <c r="E10" s="50" t="s">
        <v>29</v>
      </c>
      <c r="F10" s="51">
        <v>750</v>
      </c>
      <c r="G10" s="51">
        <v>400</v>
      </c>
      <c r="H10" s="51">
        <v>350</v>
      </c>
      <c r="I10" s="52">
        <f t="shared" si="0"/>
        <v>0</v>
      </c>
      <c r="J10" s="53">
        <v>46184</v>
      </c>
      <c r="K10" s="50"/>
    </row>
    <row r="11" spans="1:11">
      <c r="A11" s="48">
        <v>10</v>
      </c>
      <c r="B11" s="49" t="s">
        <v>33</v>
      </c>
      <c r="C11" s="50"/>
      <c r="D11" s="50"/>
      <c r="E11" s="50" t="s">
        <v>29</v>
      </c>
      <c r="F11" s="51">
        <v>750</v>
      </c>
      <c r="G11" s="51">
        <v>750</v>
      </c>
      <c r="H11" s="51"/>
      <c r="I11" s="52">
        <f t="shared" si="0"/>
        <v>0</v>
      </c>
      <c r="J11" s="53">
        <v>46179</v>
      </c>
      <c r="K11" s="50"/>
    </row>
    <row r="12" spans="1:11">
      <c r="A12" s="48">
        <v>11</v>
      </c>
      <c r="B12" s="49" t="s">
        <v>34</v>
      </c>
      <c r="C12" s="50"/>
      <c r="D12" s="50"/>
      <c r="E12" s="50" t="s">
        <v>29</v>
      </c>
      <c r="F12" s="51">
        <v>750</v>
      </c>
      <c r="G12" s="51">
        <v>500</v>
      </c>
      <c r="H12" s="51">
        <v>250</v>
      </c>
      <c r="I12" s="52">
        <f t="shared" si="0"/>
        <v>0</v>
      </c>
      <c r="J12" s="53">
        <v>46198</v>
      </c>
      <c r="K12" s="50"/>
    </row>
    <row r="13" spans="1:11">
      <c r="A13" s="48">
        <v>12</v>
      </c>
      <c r="B13" s="49" t="s">
        <v>35</v>
      </c>
      <c r="C13" s="50"/>
      <c r="D13" s="50"/>
      <c r="E13" s="50" t="s">
        <v>29</v>
      </c>
      <c r="F13" s="51">
        <v>750</v>
      </c>
      <c r="G13" s="51">
        <v>750</v>
      </c>
      <c r="H13" s="51"/>
      <c r="I13" s="52">
        <f t="shared" si="0"/>
        <v>0</v>
      </c>
      <c r="J13" s="53">
        <v>46191</v>
      </c>
      <c r="K13" s="50"/>
    </row>
    <row r="14" spans="1:11">
      <c r="A14" s="48">
        <v>13</v>
      </c>
      <c r="B14" s="49" t="s">
        <v>36</v>
      </c>
      <c r="C14" s="50"/>
      <c r="D14" s="50"/>
      <c r="E14" s="50" t="s">
        <v>29</v>
      </c>
      <c r="F14" s="51">
        <v>750</v>
      </c>
      <c r="G14" s="51">
        <v>450</v>
      </c>
      <c r="H14" s="51">
        <v>300</v>
      </c>
      <c r="I14" s="52">
        <f t="shared" si="0"/>
        <v>0</v>
      </c>
      <c r="J14" s="53">
        <v>46189</v>
      </c>
      <c r="K14" s="50"/>
    </row>
    <row r="15" spans="1:11">
      <c r="A15" s="48">
        <v>14</v>
      </c>
      <c r="B15" s="49" t="s">
        <v>37</v>
      </c>
      <c r="C15" s="50"/>
      <c r="D15" s="50"/>
      <c r="E15" s="49" t="s">
        <v>38</v>
      </c>
      <c r="F15" s="51">
        <v>750</v>
      </c>
      <c r="G15" s="51">
        <v>750</v>
      </c>
      <c r="H15" s="51"/>
      <c r="I15" s="52">
        <f t="shared" si="0"/>
        <v>0</v>
      </c>
      <c r="J15" s="53">
        <v>46189</v>
      </c>
      <c r="K15" s="50"/>
    </row>
    <row r="16" spans="1:11">
      <c r="A16" s="48">
        <v>15</v>
      </c>
      <c r="B16" s="49" t="s">
        <v>39</v>
      </c>
      <c r="C16" s="50"/>
      <c r="D16" s="50"/>
      <c r="E16" s="49" t="s">
        <v>38</v>
      </c>
      <c r="F16" s="51">
        <v>275</v>
      </c>
      <c r="G16" s="51">
        <v>275</v>
      </c>
      <c r="H16" s="51"/>
      <c r="I16" s="52">
        <f t="shared" si="0"/>
        <v>0</v>
      </c>
      <c r="J16" s="53">
        <v>46191</v>
      </c>
      <c r="K16" s="50"/>
    </row>
    <row r="17" spans="1:11">
      <c r="A17" s="48">
        <v>16</v>
      </c>
      <c r="B17" s="49" t="s">
        <v>40</v>
      </c>
      <c r="C17" s="50"/>
      <c r="D17" s="50"/>
      <c r="E17" s="49" t="s">
        <v>38</v>
      </c>
      <c r="F17" s="51">
        <v>600</v>
      </c>
      <c r="G17" s="51">
        <v>600</v>
      </c>
      <c r="H17" s="51"/>
      <c r="I17" s="52">
        <f t="shared" si="0"/>
        <v>0</v>
      </c>
      <c r="J17" s="53">
        <v>46189</v>
      </c>
      <c r="K17" s="50"/>
    </row>
    <row r="18" spans="1:11">
      <c r="A18" s="48">
        <v>17</v>
      </c>
      <c r="B18" s="49" t="s">
        <v>41</v>
      </c>
      <c r="C18" s="50"/>
      <c r="D18" s="50"/>
      <c r="E18" s="49" t="s">
        <v>38</v>
      </c>
      <c r="F18" s="51">
        <v>750</v>
      </c>
      <c r="G18" s="51">
        <v>750</v>
      </c>
      <c r="H18" s="51"/>
      <c r="I18" s="52">
        <f t="shared" si="0"/>
        <v>0</v>
      </c>
      <c r="J18" s="53">
        <v>46184</v>
      </c>
      <c r="K18" s="50"/>
    </row>
    <row r="19" spans="1:11">
      <c r="A19" s="48">
        <v>18</v>
      </c>
      <c r="B19" s="49" t="s">
        <v>42</v>
      </c>
      <c r="C19" s="50"/>
      <c r="D19" s="50"/>
      <c r="E19" s="49" t="s">
        <v>38</v>
      </c>
      <c r="F19" s="51">
        <v>750</v>
      </c>
      <c r="G19" s="51"/>
      <c r="H19" s="51">
        <v>750</v>
      </c>
      <c r="I19" s="52">
        <f t="shared" si="0"/>
        <v>0</v>
      </c>
      <c r="J19" s="53">
        <v>46195</v>
      </c>
      <c r="K19" s="50"/>
    </row>
    <row r="20" spans="1:11">
      <c r="A20" s="48">
        <v>19</v>
      </c>
      <c r="B20" s="49" t="s">
        <v>43</v>
      </c>
      <c r="C20" s="50"/>
      <c r="D20" s="50"/>
      <c r="E20" s="49" t="s">
        <v>44</v>
      </c>
      <c r="F20" s="51">
        <v>750</v>
      </c>
      <c r="G20" s="51">
        <v>750</v>
      </c>
      <c r="H20" s="51"/>
      <c r="I20" s="52">
        <f t="shared" si="0"/>
        <v>0</v>
      </c>
      <c r="J20" s="54">
        <v>46212</v>
      </c>
      <c r="K20" s="50"/>
    </row>
    <row r="21" spans="1:11">
      <c r="A21" s="48">
        <v>20</v>
      </c>
      <c r="B21" s="49" t="s">
        <v>45</v>
      </c>
      <c r="C21" s="50"/>
      <c r="D21" s="50"/>
      <c r="E21" s="49" t="s">
        <v>44</v>
      </c>
      <c r="F21" s="51">
        <v>600</v>
      </c>
      <c r="G21" s="51">
        <v>600</v>
      </c>
      <c r="H21" s="51"/>
      <c r="I21" s="52">
        <f t="shared" si="0"/>
        <v>0</v>
      </c>
      <c r="J21" s="53">
        <v>46184</v>
      </c>
      <c r="K21" s="50"/>
    </row>
    <row r="22" spans="1:11">
      <c r="A22" s="48">
        <v>21</v>
      </c>
      <c r="B22" s="49" t="s">
        <v>46</v>
      </c>
      <c r="C22" s="50"/>
      <c r="D22" s="50"/>
      <c r="E22" s="49" t="s">
        <v>44</v>
      </c>
      <c r="F22" s="51">
        <v>750</v>
      </c>
      <c r="G22" s="51"/>
      <c r="H22" s="51">
        <v>750</v>
      </c>
      <c r="I22" s="52">
        <f t="shared" si="0"/>
        <v>0</v>
      </c>
      <c r="J22" s="53">
        <v>46189</v>
      </c>
      <c r="K22" s="50"/>
    </row>
    <row r="23" spans="1:11">
      <c r="A23" s="48">
        <v>22</v>
      </c>
      <c r="B23" s="49" t="s">
        <v>47</v>
      </c>
      <c r="C23" s="50"/>
      <c r="D23" s="50"/>
      <c r="E23" s="49" t="s">
        <v>44</v>
      </c>
      <c r="F23" s="51">
        <v>750</v>
      </c>
      <c r="G23" s="51">
        <v>750</v>
      </c>
      <c r="H23" s="51"/>
      <c r="I23" s="52">
        <f t="shared" si="0"/>
        <v>0</v>
      </c>
      <c r="J23" s="54">
        <v>46204</v>
      </c>
      <c r="K23" s="50"/>
    </row>
    <row r="24" spans="1:11">
      <c r="A24" s="48">
        <v>23</v>
      </c>
      <c r="B24" s="49" t="s">
        <v>48</v>
      </c>
      <c r="C24" s="50"/>
      <c r="D24" s="50"/>
      <c r="E24" s="49" t="s">
        <v>44</v>
      </c>
      <c r="F24" s="51">
        <v>250</v>
      </c>
      <c r="G24" s="51">
        <v>250</v>
      </c>
      <c r="H24" s="51"/>
      <c r="I24" s="52">
        <f t="shared" si="0"/>
        <v>0</v>
      </c>
      <c r="J24" s="53">
        <v>46200</v>
      </c>
      <c r="K24" s="50"/>
    </row>
    <row r="25" spans="1:11">
      <c r="A25" s="48">
        <v>24</v>
      </c>
      <c r="B25" s="49" t="s">
        <v>49</v>
      </c>
      <c r="C25" s="50"/>
      <c r="D25" s="50"/>
      <c r="E25" s="49" t="s">
        <v>44</v>
      </c>
      <c r="F25" s="51">
        <v>600</v>
      </c>
      <c r="G25" s="51">
        <v>600</v>
      </c>
      <c r="H25" s="51"/>
      <c r="I25" s="52">
        <f t="shared" si="0"/>
        <v>0</v>
      </c>
      <c r="J25" s="54">
        <v>46210</v>
      </c>
      <c r="K25" s="50"/>
    </row>
    <row r="26" spans="1:11">
      <c r="A26" s="48">
        <v>25</v>
      </c>
      <c r="B26" s="49" t="s">
        <v>50</v>
      </c>
      <c r="C26" s="50"/>
      <c r="D26" s="50"/>
      <c r="E26" s="49" t="s">
        <v>44</v>
      </c>
      <c r="F26" s="51">
        <v>750</v>
      </c>
      <c r="G26" s="51">
        <v>750</v>
      </c>
      <c r="H26" s="51"/>
      <c r="I26" s="52">
        <f t="shared" si="0"/>
        <v>0</v>
      </c>
      <c r="J26" s="53">
        <v>46198</v>
      </c>
      <c r="K26" s="50"/>
    </row>
    <row r="27" spans="1:11">
      <c r="A27" s="48">
        <v>26</v>
      </c>
      <c r="B27" s="49" t="s">
        <v>51</v>
      </c>
      <c r="C27" s="50"/>
      <c r="D27" s="50"/>
      <c r="E27" s="49" t="s">
        <v>52</v>
      </c>
      <c r="F27" s="51">
        <v>750</v>
      </c>
      <c r="G27" s="51"/>
      <c r="H27" s="51">
        <v>750</v>
      </c>
      <c r="I27" s="52">
        <f t="shared" si="0"/>
        <v>0</v>
      </c>
      <c r="J27" s="54">
        <v>46206</v>
      </c>
      <c r="K27" s="50"/>
    </row>
    <row r="28" spans="1:11">
      <c r="A28" s="48">
        <v>27</v>
      </c>
      <c r="B28" s="49" t="s">
        <v>53</v>
      </c>
      <c r="C28" s="50"/>
      <c r="D28" s="50"/>
      <c r="E28" s="49" t="s">
        <v>52</v>
      </c>
      <c r="F28" s="51">
        <v>750</v>
      </c>
      <c r="G28" s="51"/>
      <c r="H28" s="51">
        <v>750</v>
      </c>
      <c r="I28" s="52">
        <f t="shared" si="0"/>
        <v>0</v>
      </c>
      <c r="J28" s="54">
        <v>46207</v>
      </c>
      <c r="K28" s="50"/>
    </row>
    <row r="29" spans="1:11">
      <c r="A29" s="48">
        <v>28</v>
      </c>
      <c r="B29" s="49" t="s">
        <v>54</v>
      </c>
      <c r="C29" s="50"/>
      <c r="D29" s="50"/>
      <c r="E29" s="49" t="s">
        <v>52</v>
      </c>
      <c r="F29" s="51">
        <v>450</v>
      </c>
      <c r="G29" s="51">
        <v>450</v>
      </c>
      <c r="H29" s="51"/>
      <c r="I29" s="52">
        <f t="shared" si="0"/>
        <v>0</v>
      </c>
      <c r="J29" s="53">
        <v>46184</v>
      </c>
      <c r="K29" s="50"/>
    </row>
    <row r="30" spans="1:11">
      <c r="A30" s="48">
        <v>29</v>
      </c>
      <c r="B30" s="49" t="s">
        <v>55</v>
      </c>
      <c r="C30" s="50"/>
      <c r="D30" s="50"/>
      <c r="E30" s="49" t="s">
        <v>52</v>
      </c>
      <c r="F30" s="51">
        <v>750</v>
      </c>
      <c r="G30" s="51">
        <v>750</v>
      </c>
      <c r="H30" s="51"/>
      <c r="I30" s="52">
        <f t="shared" si="0"/>
        <v>0</v>
      </c>
      <c r="J30" s="54">
        <v>46213</v>
      </c>
      <c r="K30" s="50"/>
    </row>
    <row r="31" spans="1:11">
      <c r="A31" s="48">
        <v>30</v>
      </c>
      <c r="B31" s="49" t="s">
        <v>56</v>
      </c>
      <c r="C31" s="50"/>
      <c r="D31" s="50"/>
      <c r="E31" s="49" t="s">
        <v>52</v>
      </c>
      <c r="F31" s="51">
        <v>525</v>
      </c>
      <c r="G31" s="51">
        <v>525</v>
      </c>
      <c r="H31" s="51"/>
      <c r="I31" s="52">
        <f t="shared" si="0"/>
        <v>0</v>
      </c>
      <c r="J31" s="53">
        <v>46190</v>
      </c>
      <c r="K31" s="50"/>
    </row>
    <row r="32" spans="1:11">
      <c r="A32" s="48">
        <v>31</v>
      </c>
      <c r="B32" s="49" t="s">
        <v>57</v>
      </c>
      <c r="C32" s="50"/>
      <c r="D32" s="50"/>
      <c r="E32" s="49" t="s">
        <v>52</v>
      </c>
      <c r="F32" s="51">
        <v>525</v>
      </c>
      <c r="G32" s="51">
        <v>525</v>
      </c>
      <c r="H32" s="51"/>
      <c r="I32" s="52">
        <f t="shared" si="0"/>
        <v>0</v>
      </c>
      <c r="J32" s="53">
        <v>46192</v>
      </c>
      <c r="K32" s="50"/>
    </row>
    <row r="33" spans="1:11">
      <c r="A33" s="48">
        <v>32</v>
      </c>
      <c r="B33" s="49" t="s">
        <v>58</v>
      </c>
      <c r="C33" s="50"/>
      <c r="D33" s="50"/>
      <c r="E33" s="49" t="s">
        <v>52</v>
      </c>
      <c r="F33" s="51">
        <v>525</v>
      </c>
      <c r="G33" s="51">
        <v>525</v>
      </c>
      <c r="H33" s="51"/>
      <c r="I33" s="52">
        <f t="shared" si="0"/>
        <v>0</v>
      </c>
      <c r="J33" s="53">
        <v>46178</v>
      </c>
      <c r="K33" s="50"/>
    </row>
    <row r="34" spans="1:11">
      <c r="A34" s="48">
        <v>33</v>
      </c>
      <c r="B34" s="49" t="s">
        <v>59</v>
      </c>
      <c r="C34" s="50"/>
      <c r="D34" s="50"/>
      <c r="E34" s="49" t="s">
        <v>52</v>
      </c>
      <c r="F34" s="51">
        <v>750</v>
      </c>
      <c r="G34" s="51">
        <v>25</v>
      </c>
      <c r="H34" s="51">
        <v>725</v>
      </c>
      <c r="I34" s="52">
        <f t="shared" si="0"/>
        <v>0</v>
      </c>
      <c r="J34" s="53">
        <v>46189</v>
      </c>
      <c r="K34" s="50"/>
    </row>
    <row r="35" spans="1:11">
      <c r="A35" s="48">
        <v>34</v>
      </c>
      <c r="B35" s="49" t="s">
        <v>60</v>
      </c>
      <c r="C35" s="50"/>
      <c r="D35" s="50"/>
      <c r="E35" s="49" t="s">
        <v>52</v>
      </c>
      <c r="F35" s="51">
        <v>750</v>
      </c>
      <c r="G35" s="51"/>
      <c r="H35" s="51">
        <v>750</v>
      </c>
      <c r="I35" s="52">
        <f t="shared" si="0"/>
        <v>0</v>
      </c>
      <c r="J35" s="53">
        <v>46196</v>
      </c>
      <c r="K35" s="50"/>
    </row>
    <row r="36" spans="1:11">
      <c r="A36" s="48">
        <v>35</v>
      </c>
      <c r="B36" s="49" t="s">
        <v>61</v>
      </c>
      <c r="C36" s="50"/>
      <c r="D36" s="50"/>
      <c r="E36" s="49" t="s">
        <v>52</v>
      </c>
      <c r="F36" s="51">
        <v>750</v>
      </c>
      <c r="G36" s="51">
        <v>750</v>
      </c>
      <c r="H36" s="51"/>
      <c r="I36" s="52">
        <f t="shared" si="0"/>
        <v>0</v>
      </c>
      <c r="J36" s="54">
        <v>46206</v>
      </c>
      <c r="K36" s="50"/>
    </row>
    <row r="37" spans="1:11">
      <c r="A37" s="48">
        <v>36</v>
      </c>
      <c r="B37" s="49" t="s">
        <v>62</v>
      </c>
      <c r="C37" s="50"/>
      <c r="D37" s="50"/>
      <c r="E37" s="49" t="s">
        <v>63</v>
      </c>
      <c r="F37" s="51">
        <v>750</v>
      </c>
      <c r="G37" s="51">
        <v>750</v>
      </c>
      <c r="H37" s="51"/>
      <c r="I37" s="52">
        <f t="shared" si="0"/>
        <v>0</v>
      </c>
      <c r="J37" s="53">
        <v>46190</v>
      </c>
      <c r="K37" s="50"/>
    </row>
    <row r="38" spans="1:11">
      <c r="A38" s="48">
        <v>37</v>
      </c>
      <c r="B38" s="49" t="s">
        <v>64</v>
      </c>
      <c r="C38" s="50"/>
      <c r="D38" s="50"/>
      <c r="E38" s="49" t="s">
        <v>63</v>
      </c>
      <c r="F38" s="51">
        <v>600</v>
      </c>
      <c r="G38" s="51">
        <v>600</v>
      </c>
      <c r="H38" s="51"/>
      <c r="I38" s="52">
        <f t="shared" si="0"/>
        <v>0</v>
      </c>
      <c r="J38" s="53">
        <v>46190</v>
      </c>
      <c r="K38" s="50"/>
    </row>
    <row r="39" spans="1:11">
      <c r="A39" s="48">
        <v>38</v>
      </c>
      <c r="B39" s="49" t="s">
        <v>65</v>
      </c>
      <c r="C39" s="50"/>
      <c r="D39" s="50"/>
      <c r="E39" s="49" t="s">
        <v>63</v>
      </c>
      <c r="F39" s="51">
        <v>600</v>
      </c>
      <c r="G39" s="51">
        <v>600</v>
      </c>
      <c r="H39" s="51"/>
      <c r="I39" s="52">
        <f t="shared" si="0"/>
        <v>0</v>
      </c>
      <c r="J39" s="54">
        <v>46191</v>
      </c>
      <c r="K39" s="50"/>
    </row>
    <row r="40" spans="1:11">
      <c r="A40" s="48">
        <v>39</v>
      </c>
      <c r="B40" s="49" t="s">
        <v>66</v>
      </c>
      <c r="C40" s="50"/>
      <c r="D40" s="50"/>
      <c r="E40" s="49" t="s">
        <v>63</v>
      </c>
      <c r="F40" s="51">
        <v>750</v>
      </c>
      <c r="G40" s="51">
        <v>750</v>
      </c>
      <c r="H40" s="51"/>
      <c r="I40" s="52">
        <f t="shared" si="0"/>
        <v>0</v>
      </c>
      <c r="J40" s="54">
        <v>46204</v>
      </c>
      <c r="K40" s="50"/>
    </row>
    <row r="41" spans="1:11">
      <c r="A41" s="48">
        <v>40</v>
      </c>
      <c r="B41" s="49" t="s">
        <v>67</v>
      </c>
      <c r="C41" s="50"/>
      <c r="D41" s="50"/>
      <c r="E41" s="49" t="s">
        <v>63</v>
      </c>
      <c r="F41" s="51">
        <v>750</v>
      </c>
      <c r="G41" s="51"/>
      <c r="H41" s="51">
        <v>750</v>
      </c>
      <c r="I41" s="52">
        <f t="shared" si="0"/>
        <v>0</v>
      </c>
      <c r="J41" s="49" t="s">
        <v>68</v>
      </c>
      <c r="K41" s="50"/>
    </row>
    <row r="42" spans="1:11">
      <c r="A42" s="48">
        <v>41</v>
      </c>
      <c r="B42" s="49" t="s">
        <v>69</v>
      </c>
      <c r="C42" s="50"/>
      <c r="D42" s="50"/>
      <c r="E42" s="49" t="s">
        <v>70</v>
      </c>
      <c r="F42" s="51">
        <v>600</v>
      </c>
      <c r="G42" s="51">
        <v>600</v>
      </c>
      <c r="H42" s="51"/>
      <c r="I42" s="52">
        <f t="shared" si="0"/>
        <v>0</v>
      </c>
      <c r="J42" s="53">
        <v>46181</v>
      </c>
      <c r="K42" s="50"/>
    </row>
    <row r="43" spans="1:11">
      <c r="A43" s="48">
        <v>42</v>
      </c>
      <c r="B43" s="49" t="s">
        <v>71</v>
      </c>
      <c r="C43" s="50"/>
      <c r="D43" s="50"/>
      <c r="E43" s="49" t="s">
        <v>70</v>
      </c>
      <c r="F43" s="51">
        <v>600</v>
      </c>
      <c r="G43" s="51"/>
      <c r="H43" s="51">
        <v>600</v>
      </c>
      <c r="I43" s="52">
        <f t="shared" si="0"/>
        <v>0</v>
      </c>
      <c r="J43" s="53">
        <v>46181</v>
      </c>
      <c r="K43" s="50"/>
    </row>
    <row r="44" spans="1:11">
      <c r="A44" s="48">
        <v>43</v>
      </c>
      <c r="B44" s="49" t="s">
        <v>72</v>
      </c>
      <c r="C44" s="50"/>
      <c r="D44" s="50"/>
      <c r="E44" s="49" t="s">
        <v>70</v>
      </c>
      <c r="F44" s="51">
        <v>750</v>
      </c>
      <c r="G44" s="51">
        <v>750</v>
      </c>
      <c r="H44" s="51"/>
      <c r="I44" s="52">
        <f t="shared" si="0"/>
        <v>0</v>
      </c>
      <c r="J44" s="54">
        <v>46195</v>
      </c>
      <c r="K44" s="50"/>
    </row>
    <row r="45" spans="1:11">
      <c r="A45" s="48">
        <v>44</v>
      </c>
      <c r="B45" s="49" t="s">
        <v>73</v>
      </c>
      <c r="C45" s="50"/>
      <c r="D45" s="50"/>
      <c r="E45" s="49" t="s">
        <v>70</v>
      </c>
      <c r="F45" s="51">
        <v>600</v>
      </c>
      <c r="G45" s="51"/>
      <c r="H45" s="51">
        <v>600</v>
      </c>
      <c r="I45" s="52">
        <f t="shared" si="0"/>
        <v>0</v>
      </c>
      <c r="J45" s="53">
        <v>46188</v>
      </c>
      <c r="K45" s="50"/>
    </row>
    <row r="46" spans="1:11">
      <c r="A46" s="48">
        <v>45</v>
      </c>
      <c r="B46" s="49" t="s">
        <v>74</v>
      </c>
      <c r="C46" s="50"/>
      <c r="D46" s="50"/>
      <c r="E46" s="49" t="s">
        <v>70</v>
      </c>
      <c r="F46" s="51">
        <v>600</v>
      </c>
      <c r="G46" s="51"/>
      <c r="H46" s="51">
        <v>600</v>
      </c>
      <c r="I46" s="52">
        <f t="shared" si="0"/>
        <v>0</v>
      </c>
      <c r="J46" s="53">
        <v>46195</v>
      </c>
      <c r="K46" s="50"/>
    </row>
    <row r="47" spans="1:11">
      <c r="A47" s="48">
        <v>46</v>
      </c>
      <c r="B47" s="49" t="s">
        <v>75</v>
      </c>
      <c r="C47" s="50"/>
      <c r="D47" s="50"/>
      <c r="E47" s="49" t="s">
        <v>76</v>
      </c>
      <c r="F47" s="51">
        <v>525</v>
      </c>
      <c r="G47" s="51"/>
      <c r="H47" s="51">
        <v>525</v>
      </c>
      <c r="I47" s="52">
        <f t="shared" si="0"/>
        <v>0</v>
      </c>
      <c r="J47" s="53">
        <v>46193</v>
      </c>
      <c r="K47" s="50"/>
    </row>
    <row r="48" spans="1:11">
      <c r="A48" s="48">
        <v>47</v>
      </c>
      <c r="B48" s="49" t="s">
        <v>77</v>
      </c>
      <c r="C48" s="50"/>
      <c r="D48" s="50"/>
      <c r="E48" s="49" t="s">
        <v>76</v>
      </c>
      <c r="F48" s="51">
        <v>525</v>
      </c>
      <c r="G48" s="51"/>
      <c r="H48" s="51">
        <v>525</v>
      </c>
      <c r="I48" s="52">
        <f t="shared" si="0"/>
        <v>0</v>
      </c>
      <c r="J48" s="53">
        <v>46181</v>
      </c>
      <c r="K48" s="50"/>
    </row>
    <row r="49" spans="1:11">
      <c r="A49" s="48">
        <v>48</v>
      </c>
      <c r="B49" s="49" t="s">
        <v>78</v>
      </c>
      <c r="C49" s="50"/>
      <c r="D49" s="50"/>
      <c r="E49" s="49" t="s">
        <v>76</v>
      </c>
      <c r="F49" s="51">
        <v>525</v>
      </c>
      <c r="G49" s="51">
        <v>525</v>
      </c>
      <c r="H49" s="51"/>
      <c r="I49" s="52">
        <f t="shared" si="0"/>
        <v>0</v>
      </c>
      <c r="J49" s="53">
        <v>46178</v>
      </c>
      <c r="K49" s="50"/>
    </row>
    <row r="50" spans="1:11">
      <c r="A50" s="48">
        <v>49</v>
      </c>
      <c r="B50" s="49" t="s">
        <v>79</v>
      </c>
      <c r="C50" s="50"/>
      <c r="D50" s="50"/>
      <c r="E50" s="49" t="s">
        <v>76</v>
      </c>
      <c r="F50" s="51">
        <v>525</v>
      </c>
      <c r="G50" s="51">
        <v>525</v>
      </c>
      <c r="H50" s="51"/>
      <c r="I50" s="52">
        <f t="shared" si="0"/>
        <v>0</v>
      </c>
      <c r="J50" s="53">
        <v>46192</v>
      </c>
      <c r="K50" s="50"/>
    </row>
    <row r="51" spans="1:11">
      <c r="A51" s="48">
        <v>50</v>
      </c>
      <c r="B51" s="49" t="s">
        <v>80</v>
      </c>
      <c r="C51" s="50"/>
      <c r="D51" s="50"/>
      <c r="E51" s="49" t="s">
        <v>76</v>
      </c>
      <c r="F51" s="51">
        <v>525</v>
      </c>
      <c r="G51" s="51">
        <v>525</v>
      </c>
      <c r="H51" s="51"/>
      <c r="I51" s="52">
        <f t="shared" si="0"/>
        <v>0</v>
      </c>
      <c r="J51" s="53">
        <v>46199</v>
      </c>
      <c r="K51" s="50"/>
    </row>
    <row r="52" spans="1:11">
      <c r="A52" s="48">
        <v>51</v>
      </c>
      <c r="B52" s="49" t="s">
        <v>81</v>
      </c>
      <c r="C52" s="50"/>
      <c r="D52" s="50"/>
      <c r="E52" s="49" t="s">
        <v>76</v>
      </c>
      <c r="F52" s="51">
        <v>525</v>
      </c>
      <c r="G52" s="51">
        <v>525</v>
      </c>
      <c r="H52" s="51"/>
      <c r="I52" s="52">
        <f t="shared" si="0"/>
        <v>0</v>
      </c>
      <c r="J52" s="53">
        <v>46188</v>
      </c>
      <c r="K52" s="50"/>
    </row>
    <row r="53" spans="1:11">
      <c r="A53" s="48">
        <v>52</v>
      </c>
      <c r="B53" s="49" t="s">
        <v>82</v>
      </c>
      <c r="C53" s="50"/>
      <c r="D53" s="50"/>
      <c r="E53" s="49" t="s">
        <v>76</v>
      </c>
      <c r="F53" s="51">
        <v>525</v>
      </c>
      <c r="G53" s="51">
        <v>525</v>
      </c>
      <c r="H53" s="51"/>
      <c r="I53" s="52">
        <f t="shared" si="0"/>
        <v>0</v>
      </c>
      <c r="J53" s="53">
        <v>46183</v>
      </c>
      <c r="K53" s="50"/>
    </row>
    <row r="54" spans="1:11">
      <c r="A54" s="48">
        <v>53</v>
      </c>
      <c r="B54" s="49" t="s">
        <v>83</v>
      </c>
      <c r="C54" s="50"/>
      <c r="D54" s="50"/>
      <c r="E54" s="49" t="s">
        <v>76</v>
      </c>
      <c r="F54" s="51">
        <v>525</v>
      </c>
      <c r="G54" s="51">
        <v>525</v>
      </c>
      <c r="H54" s="51"/>
      <c r="I54" s="52">
        <f t="shared" si="0"/>
        <v>0</v>
      </c>
      <c r="J54" s="53">
        <v>46177</v>
      </c>
      <c r="K54" s="50"/>
    </row>
    <row r="55" spans="1:11">
      <c r="A55" s="48">
        <v>54</v>
      </c>
      <c r="B55" s="49" t="s">
        <v>84</v>
      </c>
      <c r="C55" s="50"/>
      <c r="D55" s="50"/>
      <c r="E55" s="49" t="s">
        <v>76</v>
      </c>
      <c r="F55" s="51">
        <v>225</v>
      </c>
      <c r="G55" s="51">
        <v>225</v>
      </c>
      <c r="H55" s="51"/>
      <c r="I55" s="52">
        <f t="shared" si="0"/>
        <v>0</v>
      </c>
      <c r="J55" s="54">
        <v>46206</v>
      </c>
      <c r="K55" s="50"/>
    </row>
    <row r="56" spans="1:11">
      <c r="A56" s="48">
        <v>55</v>
      </c>
      <c r="B56" s="49" t="s">
        <v>85</v>
      </c>
      <c r="C56" s="50"/>
      <c r="D56" s="50"/>
      <c r="E56" s="49" t="s">
        <v>86</v>
      </c>
      <c r="F56" s="51">
        <v>525</v>
      </c>
      <c r="G56" s="51">
        <v>525</v>
      </c>
      <c r="H56" s="51"/>
      <c r="I56" s="52">
        <f t="shared" si="0"/>
        <v>0</v>
      </c>
      <c r="J56" s="53">
        <v>46188</v>
      </c>
      <c r="K56" s="50"/>
    </row>
    <row r="57" spans="1:11">
      <c r="A57" s="48">
        <v>56</v>
      </c>
      <c r="B57" s="49" t="s">
        <v>87</v>
      </c>
      <c r="C57" s="50"/>
      <c r="D57" s="50"/>
      <c r="E57" s="49" t="s">
        <v>86</v>
      </c>
      <c r="F57" s="51">
        <v>400</v>
      </c>
      <c r="G57" s="51">
        <v>400</v>
      </c>
      <c r="H57" s="51"/>
      <c r="I57" s="52">
        <f t="shared" si="0"/>
        <v>0</v>
      </c>
      <c r="J57" s="53">
        <v>46199</v>
      </c>
      <c r="K57" s="50"/>
    </row>
    <row r="58" spans="1:11">
      <c r="A58" s="48">
        <v>57</v>
      </c>
      <c r="B58" s="49" t="s">
        <v>88</v>
      </c>
      <c r="C58" s="50"/>
      <c r="D58" s="50"/>
      <c r="E58" s="49" t="s">
        <v>86</v>
      </c>
      <c r="F58" s="51">
        <v>750</v>
      </c>
      <c r="G58" s="51">
        <v>250</v>
      </c>
      <c r="H58" s="51">
        <v>500</v>
      </c>
      <c r="I58" s="52">
        <f t="shared" si="0"/>
        <v>0</v>
      </c>
      <c r="J58" s="54">
        <v>46203</v>
      </c>
      <c r="K58" s="50"/>
    </row>
    <row r="59" spans="1:11">
      <c r="A59" s="48">
        <v>58</v>
      </c>
      <c r="B59" s="49" t="s">
        <v>89</v>
      </c>
      <c r="C59" s="50"/>
      <c r="D59" s="50"/>
      <c r="E59" s="49" t="s">
        <v>86</v>
      </c>
      <c r="F59" s="51">
        <v>750</v>
      </c>
      <c r="G59" s="51">
        <v>750</v>
      </c>
      <c r="H59" s="51"/>
      <c r="I59" s="52">
        <f t="shared" si="0"/>
        <v>0</v>
      </c>
      <c r="J59" s="54">
        <v>46193</v>
      </c>
      <c r="K59" s="50"/>
    </row>
    <row r="60" spans="1:11">
      <c r="A60" s="48">
        <v>59</v>
      </c>
      <c r="B60" s="49" t="s">
        <v>90</v>
      </c>
      <c r="C60" s="50"/>
      <c r="D60" s="50"/>
      <c r="E60" s="49" t="s">
        <v>86</v>
      </c>
      <c r="F60" s="51">
        <v>700</v>
      </c>
      <c r="G60" s="51"/>
      <c r="H60" s="51">
        <v>700</v>
      </c>
      <c r="I60" s="52">
        <f t="shared" si="0"/>
        <v>0</v>
      </c>
      <c r="J60" s="53">
        <v>46188</v>
      </c>
      <c r="K60" s="50"/>
    </row>
    <row r="61" spans="1:11">
      <c r="A61" s="48">
        <v>60</v>
      </c>
      <c r="B61" s="49" t="s">
        <v>91</v>
      </c>
      <c r="C61" s="50"/>
      <c r="D61" s="50"/>
      <c r="E61" s="49" t="s">
        <v>86</v>
      </c>
      <c r="F61" s="51">
        <v>525</v>
      </c>
      <c r="G61" s="51">
        <v>525</v>
      </c>
      <c r="H61" s="51"/>
      <c r="I61" s="52">
        <f t="shared" si="0"/>
        <v>0</v>
      </c>
      <c r="J61" s="53">
        <v>46183</v>
      </c>
      <c r="K61" s="50"/>
    </row>
    <row r="62" spans="1:11">
      <c r="A62" s="48">
        <v>61</v>
      </c>
      <c r="B62" s="49" t="s">
        <v>92</v>
      </c>
      <c r="C62" s="50"/>
      <c r="D62" s="50"/>
      <c r="E62" s="49" t="s">
        <v>86</v>
      </c>
      <c r="F62" s="51">
        <v>475</v>
      </c>
      <c r="G62" s="51"/>
      <c r="H62" s="51">
        <v>475</v>
      </c>
      <c r="I62" s="52">
        <f t="shared" si="0"/>
        <v>0</v>
      </c>
      <c r="J62" s="53">
        <v>46184</v>
      </c>
      <c r="K62" s="50"/>
    </row>
    <row r="63" spans="1:11">
      <c r="A63" s="48">
        <v>62</v>
      </c>
      <c r="B63" s="49" t="s">
        <v>93</v>
      </c>
      <c r="C63" s="50"/>
      <c r="D63" s="50"/>
      <c r="E63" s="49" t="s">
        <v>86</v>
      </c>
      <c r="F63" s="51">
        <v>700</v>
      </c>
      <c r="G63" s="51">
        <v>700</v>
      </c>
      <c r="H63" s="51"/>
      <c r="I63" s="52">
        <f t="shared" si="0"/>
        <v>0</v>
      </c>
      <c r="J63" s="53">
        <v>46190</v>
      </c>
      <c r="K63" s="50"/>
    </row>
    <row r="64" spans="1:11">
      <c r="A64" s="48">
        <v>63</v>
      </c>
      <c r="B64" s="49" t="s">
        <v>94</v>
      </c>
      <c r="C64" s="50"/>
      <c r="D64" s="50"/>
      <c r="E64" s="49" t="s">
        <v>95</v>
      </c>
      <c r="F64" s="51">
        <v>750</v>
      </c>
      <c r="G64" s="51"/>
      <c r="H64" s="51">
        <v>750</v>
      </c>
      <c r="I64" s="52">
        <f t="shared" si="0"/>
        <v>0</v>
      </c>
      <c r="J64" s="53">
        <v>46185</v>
      </c>
      <c r="K64" s="50"/>
    </row>
    <row r="65" spans="1:11">
      <c r="A65" s="48">
        <v>64</v>
      </c>
      <c r="B65" s="49" t="s">
        <v>96</v>
      </c>
      <c r="C65" s="50"/>
      <c r="D65" s="50"/>
      <c r="E65" s="49" t="s">
        <v>95</v>
      </c>
      <c r="F65" s="51">
        <v>650</v>
      </c>
      <c r="G65" s="51"/>
      <c r="H65" s="51">
        <v>650</v>
      </c>
      <c r="I65" s="52">
        <f t="shared" si="0"/>
        <v>0</v>
      </c>
      <c r="J65" s="53">
        <v>46182</v>
      </c>
      <c r="K65" s="50"/>
    </row>
    <row r="66" spans="1:11">
      <c r="A66" s="48">
        <v>65</v>
      </c>
      <c r="B66" s="49" t="s">
        <v>97</v>
      </c>
      <c r="C66" s="50"/>
      <c r="D66" s="50"/>
      <c r="E66" s="49" t="s">
        <v>95</v>
      </c>
      <c r="F66" s="51">
        <v>650</v>
      </c>
      <c r="G66" s="51"/>
      <c r="H66" s="51">
        <v>650</v>
      </c>
      <c r="I66" s="52">
        <f t="shared" si="0"/>
        <v>0</v>
      </c>
      <c r="J66" s="53">
        <v>46182</v>
      </c>
      <c r="K66" s="50"/>
    </row>
    <row r="67" spans="1:11">
      <c r="A67" s="48">
        <v>66</v>
      </c>
      <c r="B67" s="49" t="s">
        <v>98</v>
      </c>
      <c r="C67" s="50"/>
      <c r="D67" s="50"/>
      <c r="E67" s="49" t="s">
        <v>95</v>
      </c>
      <c r="F67" s="51">
        <v>750</v>
      </c>
      <c r="G67" s="51"/>
      <c r="H67" s="51">
        <v>750</v>
      </c>
      <c r="I67" s="52">
        <f t="shared" si="0"/>
        <v>0</v>
      </c>
      <c r="J67" s="53">
        <v>46192</v>
      </c>
      <c r="K67" s="50"/>
    </row>
    <row r="68" spans="1:11">
      <c r="A68" s="48">
        <v>67</v>
      </c>
      <c r="B68" s="49" t="s">
        <v>99</v>
      </c>
      <c r="C68" s="50"/>
      <c r="D68" s="50"/>
      <c r="E68" s="49" t="s">
        <v>95</v>
      </c>
      <c r="F68" s="51">
        <v>750</v>
      </c>
      <c r="G68" s="51">
        <v>750</v>
      </c>
      <c r="H68" s="51"/>
      <c r="I68" s="52">
        <f t="shared" si="0"/>
        <v>0</v>
      </c>
      <c r="J68" s="53">
        <v>46195</v>
      </c>
      <c r="K68" s="50"/>
    </row>
    <row r="69" spans="1:11">
      <c r="A69" s="48">
        <v>68</v>
      </c>
      <c r="B69" s="49" t="s">
        <v>100</v>
      </c>
      <c r="C69" s="50"/>
      <c r="D69" s="50"/>
      <c r="E69" s="49" t="s">
        <v>95</v>
      </c>
      <c r="F69" s="51">
        <v>750</v>
      </c>
      <c r="G69" s="51">
        <v>750</v>
      </c>
      <c r="H69" s="51"/>
      <c r="I69" s="52">
        <f t="shared" si="0"/>
        <v>0</v>
      </c>
      <c r="J69" s="53">
        <v>46183</v>
      </c>
      <c r="K69" s="50"/>
    </row>
    <row r="70" spans="1:11">
      <c r="A70" s="48">
        <v>69</v>
      </c>
      <c r="B70" s="49" t="s">
        <v>101</v>
      </c>
      <c r="C70" s="50"/>
      <c r="D70" s="50"/>
      <c r="E70" s="49" t="s">
        <v>95</v>
      </c>
      <c r="F70" s="51">
        <v>750</v>
      </c>
      <c r="G70" s="51">
        <v>750</v>
      </c>
      <c r="H70" s="51"/>
      <c r="I70" s="52">
        <f t="shared" si="0"/>
        <v>0</v>
      </c>
      <c r="J70" s="53">
        <v>46183</v>
      </c>
      <c r="K70" s="50"/>
    </row>
    <row r="71" spans="1:11">
      <c r="A71" s="48">
        <v>70</v>
      </c>
      <c r="B71" s="49" t="s">
        <v>102</v>
      </c>
      <c r="C71" s="50"/>
      <c r="D71" s="50"/>
      <c r="E71" s="49" t="s">
        <v>95</v>
      </c>
      <c r="F71" s="51">
        <v>750</v>
      </c>
      <c r="G71" s="51">
        <v>750</v>
      </c>
      <c r="H71" s="51"/>
      <c r="I71" s="52">
        <f t="shared" ref="I71:I134" si="1">F71-(G71+H71)</f>
        <v>0</v>
      </c>
      <c r="J71" s="53">
        <v>46178</v>
      </c>
      <c r="K71" s="50"/>
    </row>
    <row r="72" spans="1:11">
      <c r="A72" s="48">
        <v>71</v>
      </c>
      <c r="B72" s="49" t="s">
        <v>103</v>
      </c>
      <c r="C72" s="50"/>
      <c r="D72" s="50"/>
      <c r="E72" s="49" t="s">
        <v>95</v>
      </c>
      <c r="F72" s="51">
        <v>750</v>
      </c>
      <c r="G72" s="51">
        <v>750</v>
      </c>
      <c r="H72" s="51"/>
      <c r="I72" s="52">
        <f t="shared" si="1"/>
        <v>0</v>
      </c>
      <c r="J72" s="53">
        <v>46183</v>
      </c>
      <c r="K72" s="50"/>
    </row>
    <row r="73" spans="1:11">
      <c r="A73" s="48">
        <v>72</v>
      </c>
      <c r="B73" s="49" t="s">
        <v>104</v>
      </c>
      <c r="C73" s="50"/>
      <c r="D73" s="50"/>
      <c r="E73" s="49" t="s">
        <v>95</v>
      </c>
      <c r="F73" s="51">
        <v>750</v>
      </c>
      <c r="G73" s="51">
        <v>750</v>
      </c>
      <c r="H73" s="51"/>
      <c r="I73" s="52">
        <f t="shared" si="1"/>
        <v>0</v>
      </c>
      <c r="J73" s="53">
        <v>46195</v>
      </c>
      <c r="K73" s="50"/>
    </row>
    <row r="74" spans="1:11">
      <c r="A74" s="48">
        <v>73</v>
      </c>
      <c r="B74" s="49" t="s">
        <v>105</v>
      </c>
      <c r="C74" s="50"/>
      <c r="D74" s="50"/>
      <c r="E74" s="49" t="s">
        <v>106</v>
      </c>
      <c r="F74" s="51">
        <v>525</v>
      </c>
      <c r="G74" s="51"/>
      <c r="H74" s="51">
        <v>525</v>
      </c>
      <c r="I74" s="52">
        <f t="shared" si="1"/>
        <v>0</v>
      </c>
      <c r="J74" s="53">
        <v>46190</v>
      </c>
      <c r="K74" s="50"/>
    </row>
    <row r="75" spans="1:11">
      <c r="A75" s="48">
        <v>74</v>
      </c>
      <c r="B75" s="49" t="s">
        <v>107</v>
      </c>
      <c r="C75" s="50"/>
      <c r="D75" s="50"/>
      <c r="E75" s="49" t="s">
        <v>106</v>
      </c>
      <c r="F75" s="51">
        <v>525</v>
      </c>
      <c r="G75" s="51">
        <v>525</v>
      </c>
      <c r="H75" s="51"/>
      <c r="I75" s="52">
        <f t="shared" si="1"/>
        <v>0</v>
      </c>
      <c r="J75" s="53">
        <v>46181</v>
      </c>
      <c r="K75" s="50"/>
    </row>
    <row r="76" spans="1:11">
      <c r="A76" s="48">
        <v>75</v>
      </c>
      <c r="B76" s="49" t="s">
        <v>108</v>
      </c>
      <c r="C76" s="50"/>
      <c r="D76" s="50"/>
      <c r="E76" s="49" t="s">
        <v>106</v>
      </c>
      <c r="F76" s="51">
        <v>525</v>
      </c>
      <c r="G76" s="51"/>
      <c r="H76" s="51">
        <v>525</v>
      </c>
      <c r="I76" s="52">
        <f t="shared" si="1"/>
        <v>0</v>
      </c>
      <c r="J76" s="53">
        <v>46188</v>
      </c>
      <c r="K76" s="50"/>
    </row>
    <row r="77" spans="1:11">
      <c r="A77" s="48">
        <v>76</v>
      </c>
      <c r="B77" s="49" t="s">
        <v>109</v>
      </c>
      <c r="C77" s="50"/>
      <c r="D77" s="50"/>
      <c r="E77" s="49" t="s">
        <v>106</v>
      </c>
      <c r="F77" s="51">
        <v>525</v>
      </c>
      <c r="G77" s="51">
        <v>525</v>
      </c>
      <c r="H77" s="51"/>
      <c r="I77" s="52">
        <f t="shared" si="1"/>
        <v>0</v>
      </c>
      <c r="J77" s="53">
        <v>46188</v>
      </c>
      <c r="K77" s="50"/>
    </row>
    <row r="78" spans="1:11">
      <c r="A78" s="48">
        <v>77</v>
      </c>
      <c r="B78" s="49" t="s">
        <v>110</v>
      </c>
      <c r="C78" s="50"/>
      <c r="D78" s="50"/>
      <c r="E78" s="49" t="s">
        <v>106</v>
      </c>
      <c r="F78" s="51">
        <v>525</v>
      </c>
      <c r="G78" s="51">
        <v>525</v>
      </c>
      <c r="H78" s="51"/>
      <c r="I78" s="52">
        <f t="shared" si="1"/>
        <v>0</v>
      </c>
      <c r="J78" s="53">
        <v>46178</v>
      </c>
      <c r="K78" s="50"/>
    </row>
    <row r="79" spans="1:11">
      <c r="A79" s="48">
        <v>78</v>
      </c>
      <c r="B79" s="49" t="s">
        <v>111</v>
      </c>
      <c r="C79" s="50"/>
      <c r="D79" s="50"/>
      <c r="E79" s="49" t="s">
        <v>106</v>
      </c>
      <c r="F79" s="51">
        <v>525</v>
      </c>
      <c r="G79" s="51">
        <v>525</v>
      </c>
      <c r="H79" s="51"/>
      <c r="I79" s="52">
        <f t="shared" si="1"/>
        <v>0</v>
      </c>
      <c r="J79" s="53">
        <v>46181</v>
      </c>
      <c r="K79" s="50"/>
    </row>
    <row r="80" spans="1:11">
      <c r="A80" s="48">
        <v>79</v>
      </c>
      <c r="B80" s="49" t="s">
        <v>112</v>
      </c>
      <c r="C80" s="50"/>
      <c r="D80" s="50"/>
      <c r="E80" s="49" t="s">
        <v>106</v>
      </c>
      <c r="F80" s="51">
        <v>525</v>
      </c>
      <c r="G80" s="51">
        <v>525</v>
      </c>
      <c r="H80" s="51"/>
      <c r="I80" s="52">
        <f t="shared" si="1"/>
        <v>0</v>
      </c>
      <c r="J80" s="53">
        <v>46190</v>
      </c>
      <c r="K80" s="50"/>
    </row>
    <row r="81" spans="1:11">
      <c r="A81" s="48">
        <v>80</v>
      </c>
      <c r="B81" s="50" t="s">
        <v>113</v>
      </c>
      <c r="C81" s="50"/>
      <c r="D81" s="50"/>
      <c r="E81" s="50"/>
      <c r="F81" s="55">
        <f>SUM(F2:F80)</f>
        <v>50121</v>
      </c>
      <c r="G81" s="55">
        <f>SUM(G2:G80)</f>
        <v>34575</v>
      </c>
      <c r="H81" s="55">
        <f>SUM(H2:H80)</f>
        <v>15250</v>
      </c>
      <c r="I81" s="52">
        <f t="shared" si="1"/>
        <v>296</v>
      </c>
      <c r="J81" s="50"/>
      <c r="K81" s="50"/>
    </row>
    <row r="82" spans="1:11">
      <c r="I82" s="56"/>
    </row>
    <row r="83" ht="15.15" spans="1:11">
      <c r="C83" s="57" t="s">
        <v>114</v>
      </c>
      <c r="D83" s="57"/>
      <c r="E83" s="57"/>
      <c r="I83" s="58"/>
    </row>
    <row r="84" ht="27.6" spans="1:11">
      <c r="B84" s="59" t="s">
        <v>115</v>
      </c>
      <c r="C84" s="60">
        <v>0</v>
      </c>
      <c r="D84" s="61"/>
      <c r="E84" s="62"/>
      <c r="F84" s="63">
        <f>SUM(E84+D84-C84)</f>
        <v>0</v>
      </c>
      <c r="G84" s="64" t="s">
        <v>106</v>
      </c>
      <c r="H84" s="65"/>
      <c r="I84" s="58"/>
    </row>
    <row r="85" spans="1:11">
      <c r="B85" s="66" t="s">
        <v>116</v>
      </c>
      <c r="C85" s="67"/>
      <c r="D85" s="68"/>
      <c r="E85" s="69"/>
      <c r="F85" s="70"/>
      <c r="G85" s="71" t="s">
        <v>86</v>
      </c>
      <c r="H85" s="72"/>
      <c r="I85" s="58"/>
    </row>
    <row r="86" spans="1:11">
      <c r="B86" s="66" t="s">
        <v>117</v>
      </c>
      <c r="C86" s="67"/>
      <c r="D86" s="68"/>
      <c r="E86" s="69"/>
      <c r="F86" s="70"/>
      <c r="G86" s="71" t="s">
        <v>86</v>
      </c>
      <c r="H86" s="72"/>
      <c r="I86" s="58"/>
    </row>
    <row r="87" spans="1:11">
      <c r="B87" s="66" t="s">
        <v>118</v>
      </c>
      <c r="C87" s="67"/>
      <c r="D87" s="68"/>
      <c r="E87" s="69"/>
      <c r="F87" s="70">
        <f>SUM(E87+D87-C87)</f>
        <v>0</v>
      </c>
      <c r="G87" s="71" t="s">
        <v>52</v>
      </c>
      <c r="H87" s="72"/>
      <c r="I87" s="58"/>
    </row>
    <row r="88" ht="15.15" spans="1:11">
      <c r="B88" s="73" t="s">
        <v>119</v>
      </c>
      <c r="C88" s="74"/>
      <c r="D88" s="75"/>
      <c r="E88" s="76"/>
      <c r="F88" s="77"/>
      <c r="G88" s="78" t="s">
        <v>120</v>
      </c>
      <c r="H88" s="79"/>
      <c r="I88" s="58"/>
    </row>
    <row r="89" spans="1:11">
      <c r="I89" s="58"/>
    </row>
    <row r="90" spans="1:11">
      <c r="I90" s="58"/>
    </row>
    <row r="91" spans="1:11">
      <c r="I91" s="58"/>
    </row>
    <row r="92" spans="1:11">
      <c r="I92" s="58"/>
    </row>
    <row r="93" spans="1:11">
      <c r="I93" s="58"/>
    </row>
    <row r="94" spans="1:11">
      <c r="I94" s="58"/>
    </row>
    <row r="95" spans="1:11">
      <c r="I95" s="58"/>
    </row>
    <row r="96" spans="1:11">
      <c r="I96" s="58"/>
    </row>
    <row r="97" spans="9:9">
      <c r="I97" s="58"/>
    </row>
    <row r="98" spans="9:9">
      <c r="I98" s="58"/>
    </row>
    <row r="99" spans="9:9">
      <c r="I99" s="58"/>
    </row>
    <row r="100" spans="9:9">
      <c r="I100" s="58"/>
    </row>
    <row r="101" spans="9:9">
      <c r="I101" s="58"/>
    </row>
    <row r="102" spans="9:9">
      <c r="I102" s="58"/>
    </row>
    <row r="103" spans="9:9">
      <c r="I103" s="58"/>
    </row>
    <row r="104" spans="9:9">
      <c r="I104" s="58"/>
    </row>
    <row r="105" spans="9:9">
      <c r="I105" s="58"/>
    </row>
    <row r="106" spans="9:9">
      <c r="I106" s="58"/>
    </row>
    <row r="107" spans="9:9">
      <c r="I107" s="58"/>
    </row>
    <row r="108" spans="9:9">
      <c r="I108" s="58"/>
    </row>
    <row r="109" spans="9:9">
      <c r="I109" s="58"/>
    </row>
    <row r="110" spans="9:9">
      <c r="I110" s="58"/>
    </row>
    <row r="111" spans="9:9">
      <c r="I111" s="58"/>
    </row>
    <row r="112" spans="9:9">
      <c r="I112" s="58"/>
    </row>
    <row r="113" spans="9:9">
      <c r="I113" s="58"/>
    </row>
    <row r="114" spans="9:9">
      <c r="I114" s="58"/>
    </row>
    <row r="115" spans="9:9">
      <c r="I115" s="58"/>
    </row>
    <row r="116" spans="9:9">
      <c r="I116" s="58"/>
    </row>
    <row r="117" spans="9:9">
      <c r="I117" s="58"/>
    </row>
    <row r="118" spans="9:9">
      <c r="I118" s="58"/>
    </row>
    <row r="119" spans="9:9">
      <c r="I119" s="58"/>
    </row>
    <row r="120" spans="9:9">
      <c r="I120" s="58"/>
    </row>
    <row r="121" spans="9:9">
      <c r="I121" s="58"/>
    </row>
    <row r="122" spans="9:9">
      <c r="I122" s="58"/>
    </row>
    <row r="123" spans="9:9">
      <c r="I123" s="58"/>
    </row>
    <row r="124" spans="9:9">
      <c r="I124" s="58"/>
    </row>
    <row r="125" spans="9:9">
      <c r="I125" s="58"/>
    </row>
    <row r="126" spans="9:9">
      <c r="I126" s="58"/>
    </row>
    <row r="127" spans="9:9">
      <c r="I127" s="58"/>
    </row>
    <row r="128" spans="9:9">
      <c r="I128" s="58"/>
    </row>
    <row r="129" spans="9:9">
      <c r="I129" s="58"/>
    </row>
    <row r="130" spans="9:9">
      <c r="I130" s="58"/>
    </row>
    <row r="131" spans="9:9">
      <c r="I131" s="58"/>
    </row>
    <row r="132" spans="9:9">
      <c r="I132" s="58"/>
    </row>
    <row r="133" spans="9:9">
      <c r="I133" s="58"/>
    </row>
    <row r="134" spans="9:9">
      <c r="I134" s="58"/>
    </row>
    <row r="135" spans="9:9">
      <c r="I135" s="58"/>
    </row>
    <row r="136" spans="9:9">
      <c r="I136" s="58"/>
    </row>
    <row r="137" spans="9:9">
      <c r="I137" s="58"/>
    </row>
    <row r="138" spans="9:9">
      <c r="I138" s="58"/>
    </row>
    <row r="139" spans="9:9">
      <c r="I139" s="58"/>
    </row>
    <row r="140" spans="9:9">
      <c r="I140" s="58"/>
    </row>
    <row r="141" spans="9:9">
      <c r="I141" s="58"/>
    </row>
    <row r="142" spans="9:9">
      <c r="I142" s="58"/>
    </row>
    <row r="143" spans="9:9">
      <c r="I143" s="58"/>
    </row>
    <row r="144" spans="9:9">
      <c r="I144" s="58"/>
    </row>
    <row r="145" spans="9:9">
      <c r="I145" s="58"/>
    </row>
    <row r="146" spans="9:9">
      <c r="I146" s="58"/>
    </row>
    <row r="147" spans="9:9">
      <c r="I147" s="58"/>
    </row>
    <row r="148" spans="9:9">
      <c r="I148" s="58"/>
    </row>
    <row r="149" spans="9:9">
      <c r="I149" s="58"/>
    </row>
    <row r="150" spans="9:9">
      <c r="I150" s="58"/>
    </row>
    <row r="151" spans="9:9">
      <c r="I151" s="58"/>
    </row>
    <row r="152" spans="9:9">
      <c r="I152" s="58"/>
    </row>
    <row r="153" spans="9:9">
      <c r="I153" s="58"/>
    </row>
    <row r="154" spans="9:9">
      <c r="I154" s="58"/>
    </row>
    <row r="155" spans="9:9">
      <c r="I155" s="58"/>
    </row>
    <row r="156" spans="9:9">
      <c r="I156" s="58"/>
    </row>
    <row r="157" spans="9:9">
      <c r="I157" s="58"/>
    </row>
    <row r="158" spans="9:9">
      <c r="I158" s="58"/>
    </row>
    <row r="159" spans="9:9">
      <c r="I159" s="58"/>
    </row>
    <row r="160" spans="9:9">
      <c r="I160" s="58"/>
    </row>
    <row r="161" spans="9:9">
      <c r="I161" s="58"/>
    </row>
    <row r="162" spans="9:9">
      <c r="I162" s="58"/>
    </row>
    <row r="163" spans="9:9">
      <c r="I163" s="58"/>
    </row>
    <row r="164" spans="9:9">
      <c r="I164" s="58"/>
    </row>
    <row r="165" spans="9:9">
      <c r="I165" s="58"/>
    </row>
    <row r="166" spans="9:9">
      <c r="I166" s="58"/>
    </row>
    <row r="167" spans="9:9">
      <c r="I167" s="58"/>
    </row>
    <row r="168" spans="9:9">
      <c r="I168" s="58"/>
    </row>
    <row r="169" spans="9:9">
      <c r="I169" s="58"/>
    </row>
  </sheetData>
  <mergeCells count="1">
    <mergeCell ref="C83:E8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K21"/>
  <sheetViews>
    <sheetView workbookViewId="0">
      <selection activeCell="F15" sqref="F15"/>
    </sheetView>
  </sheetViews>
  <sheetFormatPr defaultColWidth="9" defaultRowHeight="14.4"/>
  <cols>
    <col min="1" max="1" width="6" style="15" customWidth="1"/>
    <col min="2" max="2" width="28" style="15" customWidth="1"/>
    <col min="3" max="3" width="24.712962962963" style="33" customWidth="1"/>
    <col min="4" max="4" width="13.287037037037" style="16" customWidth="1"/>
    <col min="5" max="5" width="15" style="34" customWidth="1"/>
    <col min="6" max="6" width="16" style="16" customWidth="1"/>
    <col min="7" max="7" width="18" style="16" customWidth="1"/>
    <col min="8" max="8" width="16" style="16" customWidth="1"/>
    <col min="9" max="9" width="22" style="16" customWidth="1"/>
    <col min="10" max="10" width="15" style="15" customWidth="1"/>
    <col min="11" max="11" width="25" customWidth="1"/>
  </cols>
  <sheetData>
    <row r="1" ht="27.95" customHeight="1" spans="1:11">
      <c r="A1" s="35" t="s">
        <v>0</v>
      </c>
      <c r="B1" s="35" t="s">
        <v>121</v>
      </c>
      <c r="C1" s="35" t="s">
        <v>122</v>
      </c>
      <c r="D1" s="36" t="s">
        <v>123</v>
      </c>
      <c r="E1" s="37" t="s">
        <v>124</v>
      </c>
      <c r="F1" s="36" t="s">
        <v>125</v>
      </c>
      <c r="G1" s="36" t="s">
        <v>126</v>
      </c>
      <c r="H1" s="36" t="s">
        <v>127</v>
      </c>
      <c r="I1" s="36" t="s">
        <v>128</v>
      </c>
      <c r="J1" s="35" t="s">
        <v>129</v>
      </c>
      <c r="K1" s="35" t="s">
        <v>10</v>
      </c>
    </row>
    <row r="2" spans="1:11">
      <c r="A2" s="19">
        <v>1</v>
      </c>
      <c r="B2" s="19" t="s">
        <v>130</v>
      </c>
      <c r="C2" s="38" t="s">
        <v>131</v>
      </c>
      <c r="D2" s="22">
        <v>6000</v>
      </c>
      <c r="E2" s="39"/>
      <c r="F2" s="22">
        <v>4011</v>
      </c>
      <c r="G2" s="22">
        <v>4011</v>
      </c>
      <c r="H2" s="22"/>
      <c r="I2" s="22">
        <f>D2+G2-F2-H2</f>
        <v>6000</v>
      </c>
      <c r="J2" s="19"/>
      <c r="K2" s="9"/>
    </row>
    <row r="3" spans="1:11">
      <c r="A3" s="19">
        <v>2</v>
      </c>
      <c r="B3" s="19" t="s">
        <v>132</v>
      </c>
      <c r="C3" s="38" t="s">
        <v>133</v>
      </c>
      <c r="D3" s="22">
        <v>5000</v>
      </c>
      <c r="E3" s="39"/>
      <c r="F3" s="22">
        <v>5705</v>
      </c>
      <c r="G3" s="22">
        <v>1187</v>
      </c>
      <c r="H3" s="22">
        <v>482</v>
      </c>
      <c r="I3" s="22">
        <f t="shared" ref="I3:I20" si="0">D3+G3-F3-H3</f>
        <v>0</v>
      </c>
      <c r="J3" s="19"/>
      <c r="K3" s="9"/>
    </row>
    <row r="4" spans="1:11">
      <c r="A4" s="19">
        <v>3</v>
      </c>
      <c r="B4" s="19" t="s">
        <v>134</v>
      </c>
      <c r="C4" s="38" t="s">
        <v>135</v>
      </c>
      <c r="D4" s="22">
        <v>5000</v>
      </c>
      <c r="E4" s="39"/>
      <c r="F4" s="22">
        <v>6370</v>
      </c>
      <c r="G4" s="22">
        <v>1640</v>
      </c>
      <c r="H4" s="22">
        <v>270</v>
      </c>
      <c r="I4" s="22">
        <f t="shared" si="0"/>
        <v>0</v>
      </c>
      <c r="J4" s="19"/>
      <c r="K4" s="9"/>
    </row>
    <row r="5" spans="1:11">
      <c r="A5" s="19">
        <v>4</v>
      </c>
      <c r="B5" s="19" t="s">
        <v>136</v>
      </c>
      <c r="C5" s="38" t="s">
        <v>137</v>
      </c>
      <c r="D5" s="22">
        <v>3500</v>
      </c>
      <c r="E5" s="39"/>
      <c r="F5" s="22">
        <v>2953</v>
      </c>
      <c r="G5" s="22"/>
      <c r="H5" s="22">
        <v>547</v>
      </c>
      <c r="I5" s="22">
        <f t="shared" si="0"/>
        <v>0</v>
      </c>
      <c r="J5" s="19"/>
      <c r="K5" s="9"/>
    </row>
    <row r="6" spans="1:11">
      <c r="B6" s="15" t="s">
        <v>138</v>
      </c>
      <c r="C6" s="40" t="s">
        <v>139</v>
      </c>
      <c r="D6" s="16">
        <v>2500</v>
      </c>
      <c r="F6" s="16">
        <v>4250</v>
      </c>
      <c r="G6" s="16">
        <v>1170</v>
      </c>
      <c r="H6" s="16">
        <v>282</v>
      </c>
      <c r="I6" s="22">
        <f t="shared" si="0"/>
        <v>-862</v>
      </c>
      <c r="J6" s="19"/>
    </row>
    <row r="7" spans="1:11">
      <c r="B7" s="15" t="s">
        <v>140</v>
      </c>
      <c r="C7" s="40" t="s">
        <v>141</v>
      </c>
      <c r="D7" s="16">
        <v>1200</v>
      </c>
      <c r="F7" s="16">
        <v>1200</v>
      </c>
      <c r="I7" s="22">
        <f t="shared" si="0"/>
        <v>0</v>
      </c>
      <c r="J7" s="19"/>
    </row>
    <row r="8" spans="1:11">
      <c r="B8" s="15" t="s">
        <v>142</v>
      </c>
      <c r="C8" s="40" t="s">
        <v>143</v>
      </c>
      <c r="H8" s="16">
        <v>94</v>
      </c>
      <c r="I8" s="22">
        <f t="shared" si="0"/>
        <v>-94</v>
      </c>
      <c r="J8" s="19"/>
    </row>
    <row r="9" spans="1:11">
      <c r="B9" s="15" t="s">
        <v>144</v>
      </c>
      <c r="C9" s="40" t="s">
        <v>145</v>
      </c>
      <c r="D9" s="16">
        <v>5000</v>
      </c>
      <c r="F9" s="16">
        <v>2500</v>
      </c>
      <c r="G9" s="16">
        <v>4300</v>
      </c>
      <c r="H9" s="16">
        <v>235</v>
      </c>
      <c r="I9" s="22">
        <f t="shared" si="0"/>
        <v>6565</v>
      </c>
      <c r="J9" s="19"/>
    </row>
    <row r="10" spans="1:11">
      <c r="B10" s="15" t="s">
        <v>146</v>
      </c>
      <c r="C10" s="40" t="s">
        <v>147</v>
      </c>
      <c r="H10" s="16">
        <v>150</v>
      </c>
      <c r="I10" s="22">
        <f t="shared" si="0"/>
        <v>-150</v>
      </c>
      <c r="J10" s="19"/>
    </row>
    <row r="11" spans="1:11">
      <c r="B11" s="15" t="s">
        <v>148</v>
      </c>
      <c r="C11" s="40" t="s">
        <v>149</v>
      </c>
      <c r="D11" s="16">
        <v>1000</v>
      </c>
      <c r="E11" s="41">
        <v>0.17</v>
      </c>
      <c r="F11" s="16">
        <v>1000</v>
      </c>
      <c r="I11" s="22">
        <f t="shared" si="0"/>
        <v>0</v>
      </c>
      <c r="J11" s="19"/>
    </row>
    <row r="12" spans="1:11">
      <c r="B12" s="15" t="s">
        <v>150</v>
      </c>
      <c r="C12" s="40" t="s">
        <v>151</v>
      </c>
      <c r="D12" s="16">
        <v>1326</v>
      </c>
      <c r="E12" s="41">
        <v>0.17</v>
      </c>
      <c r="F12" s="16">
        <v>1122</v>
      </c>
      <c r="G12" s="16">
        <v>135</v>
      </c>
      <c r="H12" s="16">
        <v>339</v>
      </c>
      <c r="I12" s="22">
        <f t="shared" si="0"/>
        <v>0</v>
      </c>
      <c r="J12" s="19"/>
    </row>
    <row r="13" spans="1:11">
      <c r="B13" s="15" t="s">
        <v>152</v>
      </c>
      <c r="C13" s="40" t="s">
        <v>151</v>
      </c>
      <c r="D13" s="16">
        <v>2907</v>
      </c>
      <c r="E13" s="41">
        <v>0.17</v>
      </c>
      <c r="F13" s="16">
        <v>4820</v>
      </c>
      <c r="G13" s="16">
        <v>2212</v>
      </c>
      <c r="H13" s="16">
        <v>299</v>
      </c>
      <c r="I13" s="22">
        <f t="shared" si="0"/>
        <v>0</v>
      </c>
      <c r="J13" s="19"/>
    </row>
    <row r="14" spans="1:11">
      <c r="B14" s="15" t="s">
        <v>153</v>
      </c>
      <c r="C14" s="40" t="s">
        <v>154</v>
      </c>
      <c r="E14" s="41">
        <v>0.17</v>
      </c>
      <c r="F14" s="16">
        <v>400</v>
      </c>
      <c r="H14" s="16">
        <v>463</v>
      </c>
      <c r="I14" s="22">
        <f t="shared" si="0"/>
        <v>-863</v>
      </c>
      <c r="J14" s="19"/>
    </row>
    <row r="15" spans="1:11">
      <c r="B15" s="15" t="s">
        <v>155</v>
      </c>
      <c r="C15" s="40" t="s">
        <v>156</v>
      </c>
      <c r="D15" s="16">
        <v>1000</v>
      </c>
      <c r="E15" s="41">
        <v>0.17</v>
      </c>
      <c r="F15" s="16">
        <v>773</v>
      </c>
      <c r="H15" s="16">
        <v>227</v>
      </c>
      <c r="I15" s="22">
        <f t="shared" si="0"/>
        <v>0</v>
      </c>
      <c r="J15" s="19"/>
    </row>
    <row r="16" spans="1:11">
      <c r="B16" s="15" t="s">
        <v>157</v>
      </c>
      <c r="C16" s="40" t="s">
        <v>156</v>
      </c>
      <c r="E16" s="41">
        <v>0.17</v>
      </c>
      <c r="F16" s="16">
        <v>600</v>
      </c>
      <c r="H16" s="16">
        <v>160</v>
      </c>
      <c r="I16" s="22">
        <f t="shared" si="0"/>
        <v>-760</v>
      </c>
      <c r="J16" s="19"/>
    </row>
    <row r="17" spans="3:10">
      <c r="C17" s="40"/>
      <c r="E17" s="41"/>
      <c r="I17" s="22">
        <f t="shared" si="0"/>
        <v>0</v>
      </c>
      <c r="J17" s="19"/>
    </row>
    <row r="18" spans="3:10">
      <c r="C18" s="40"/>
      <c r="I18" s="22">
        <f t="shared" si="0"/>
        <v>0</v>
      </c>
      <c r="J18" s="19"/>
    </row>
    <row r="19" spans="3:10">
      <c r="C19" s="40"/>
      <c r="I19" s="22">
        <f t="shared" si="0"/>
        <v>0</v>
      </c>
      <c r="J19" s="19"/>
    </row>
    <row r="20" spans="3:10">
      <c r="C20" s="40"/>
      <c r="I20" s="22">
        <f t="shared" si="0"/>
        <v>0</v>
      </c>
      <c r="J20" s="19"/>
    </row>
    <row r="21" spans="3:10">
      <c r="J21" s="19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9E0B"/>
  </sheetPr>
  <dimension ref="A1:G23"/>
  <sheetViews>
    <sheetView workbookViewId="0">
      <selection activeCell="F24" sqref="F24"/>
    </sheetView>
  </sheetViews>
  <sheetFormatPr defaultColWidth="9" defaultRowHeight="14.4" outlineLevelCol="6"/>
  <cols>
    <col min="1" max="1" width="6" style="15" customWidth="1"/>
    <col min="2" max="2" width="14" style="15" customWidth="1"/>
    <col min="3" max="3" width="22" customWidth="1"/>
    <col min="4" max="4" width="48.8518518518519" customWidth="1"/>
    <col min="5" max="5" width="13.8518518518519" style="4" customWidth="1"/>
    <col min="6" max="6" width="13.5740740740741" style="15" customWidth="1"/>
    <col min="7" max="7" width="11.4259259259259" customWidth="1"/>
  </cols>
  <sheetData>
    <row r="1" ht="27.95" customHeight="1" spans="1:7">
      <c r="A1" s="25" t="s">
        <v>0</v>
      </c>
      <c r="B1" s="25" t="s">
        <v>158</v>
      </c>
      <c r="C1" s="25" t="s">
        <v>159</v>
      </c>
      <c r="D1" s="25" t="s">
        <v>160</v>
      </c>
      <c r="E1" s="26" t="s">
        <v>161</v>
      </c>
      <c r="F1" s="26" t="s">
        <v>162</v>
      </c>
      <c r="G1" s="26" t="s">
        <v>163</v>
      </c>
    </row>
    <row r="2" ht="14.25" customHeight="1" spans="1:7">
      <c r="A2" s="19">
        <v>1</v>
      </c>
      <c r="B2" s="27">
        <v>46175</v>
      </c>
      <c r="C2" s="21" t="s">
        <v>164</v>
      </c>
      <c r="D2" s="21" t="s">
        <v>165</v>
      </c>
      <c r="E2" s="28"/>
      <c r="F2" s="28">
        <v>175</v>
      </c>
      <c r="G2" s="28"/>
    </row>
    <row r="3" ht="14.25" customHeight="1" spans="1:7">
      <c r="A3" s="19">
        <v>2</v>
      </c>
      <c r="B3" s="27">
        <v>46179</v>
      </c>
      <c r="C3" s="21" t="s">
        <v>166</v>
      </c>
      <c r="D3" s="21" t="s">
        <v>167</v>
      </c>
      <c r="E3" s="28"/>
      <c r="F3" s="28">
        <v>450</v>
      </c>
      <c r="G3" s="28"/>
    </row>
    <row r="4" ht="14.25" customHeight="1" spans="1:7">
      <c r="A4" s="19">
        <v>3</v>
      </c>
      <c r="B4" s="27">
        <v>46180</v>
      </c>
      <c r="C4" s="21" t="s">
        <v>168</v>
      </c>
      <c r="D4" s="29" t="s">
        <v>169</v>
      </c>
      <c r="E4" s="28"/>
      <c r="F4" s="28">
        <v>187</v>
      </c>
      <c r="G4" s="28"/>
    </row>
    <row r="5" ht="14.25" customHeight="1" spans="1:7">
      <c r="A5" s="19">
        <v>4</v>
      </c>
      <c r="B5" s="27">
        <v>46181</v>
      </c>
      <c r="C5" s="21" t="s">
        <v>170</v>
      </c>
      <c r="D5" s="21" t="s">
        <v>171</v>
      </c>
      <c r="E5" s="28">
        <v>1300</v>
      </c>
      <c r="F5" s="28"/>
      <c r="G5" s="28"/>
    </row>
    <row r="6" ht="14.25" customHeight="1" spans="1:7">
      <c r="A6" s="19">
        <v>5</v>
      </c>
      <c r="B6" s="27">
        <v>46183</v>
      </c>
      <c r="C6" s="21" t="s">
        <v>172</v>
      </c>
      <c r="D6" s="21" t="s">
        <v>173</v>
      </c>
      <c r="E6" s="28">
        <v>3155</v>
      </c>
      <c r="F6" s="28"/>
      <c r="G6" s="28"/>
    </row>
    <row r="7" ht="14.25" customHeight="1" spans="1:7">
      <c r="A7" s="19">
        <v>6</v>
      </c>
      <c r="B7" s="27">
        <v>46189</v>
      </c>
      <c r="C7" s="30" t="s">
        <v>174</v>
      </c>
      <c r="D7" s="30" t="s">
        <v>175</v>
      </c>
      <c r="E7" s="28"/>
      <c r="F7" s="31">
        <v>12100</v>
      </c>
      <c r="G7" s="28"/>
    </row>
    <row r="8" ht="14.25" customHeight="1" spans="1:7">
      <c r="A8" s="19">
        <v>7</v>
      </c>
      <c r="B8" s="27">
        <v>46191</v>
      </c>
      <c r="C8" s="21" t="s">
        <v>170</v>
      </c>
      <c r="D8" s="21" t="s">
        <v>176</v>
      </c>
      <c r="E8" s="28"/>
      <c r="F8" s="28">
        <v>1300</v>
      </c>
      <c r="G8" s="28"/>
    </row>
    <row r="9" ht="14.25" customHeight="1" spans="1:7">
      <c r="A9" s="19">
        <v>8</v>
      </c>
      <c r="B9" s="27">
        <v>46191</v>
      </c>
      <c r="C9" s="21" t="s">
        <v>177</v>
      </c>
      <c r="D9" s="21" t="s">
        <v>178</v>
      </c>
      <c r="E9" s="28"/>
      <c r="F9" s="28">
        <v>1000</v>
      </c>
      <c r="G9" s="28"/>
    </row>
    <row r="10" ht="14.25" customHeight="1" spans="1:7">
      <c r="A10" s="19">
        <v>9</v>
      </c>
      <c r="B10" s="27">
        <v>46196</v>
      </c>
      <c r="C10" s="21" t="s">
        <v>179</v>
      </c>
      <c r="D10" s="21" t="s">
        <v>180</v>
      </c>
      <c r="E10" s="28">
        <v>200</v>
      </c>
      <c r="F10" s="28">
        <v>100</v>
      </c>
      <c r="G10" s="28">
        <v>100</v>
      </c>
    </row>
    <row r="11" ht="14.25" customHeight="1" spans="1:7">
      <c r="A11" s="19">
        <v>10</v>
      </c>
      <c r="B11" s="27">
        <v>46191</v>
      </c>
      <c r="C11" s="21" t="s">
        <v>181</v>
      </c>
      <c r="D11" s="21" t="s">
        <v>182</v>
      </c>
      <c r="E11" s="28"/>
      <c r="F11" s="28">
        <v>1800</v>
      </c>
      <c r="G11" s="28"/>
    </row>
    <row r="12" ht="14.25" customHeight="1" spans="1:7">
      <c r="A12" s="19">
        <v>11</v>
      </c>
      <c r="B12" s="27">
        <v>46195</v>
      </c>
      <c r="C12" s="21" t="s">
        <v>177</v>
      </c>
      <c r="D12" s="21" t="s">
        <v>183</v>
      </c>
      <c r="E12" s="28"/>
      <c r="F12" s="28">
        <v>1500</v>
      </c>
      <c r="G12" s="28"/>
    </row>
    <row r="13" ht="14.25" customHeight="1" spans="1:7">
      <c r="A13" s="19">
        <v>12</v>
      </c>
      <c r="B13" s="27">
        <v>46198</v>
      </c>
      <c r="C13" s="21" t="s">
        <v>184</v>
      </c>
      <c r="D13" s="21" t="s">
        <v>185</v>
      </c>
      <c r="E13" s="28"/>
      <c r="F13" s="28">
        <v>80</v>
      </c>
      <c r="G13" s="28"/>
    </row>
    <row r="14" ht="14.25" customHeight="1" spans="1:7">
      <c r="A14" s="19">
        <v>13</v>
      </c>
      <c r="B14" s="27">
        <v>46199</v>
      </c>
      <c r="C14" s="21" t="s">
        <v>177</v>
      </c>
      <c r="D14" s="21" t="s">
        <v>186</v>
      </c>
      <c r="E14" s="28"/>
      <c r="F14" s="28">
        <v>1500</v>
      </c>
      <c r="G14" s="28"/>
    </row>
    <row r="15" ht="14.25" customHeight="1" spans="1:7">
      <c r="A15" s="19">
        <v>14</v>
      </c>
      <c r="B15" s="27">
        <v>46199</v>
      </c>
      <c r="C15" s="21" t="s">
        <v>187</v>
      </c>
      <c r="D15" s="21" t="s">
        <v>188</v>
      </c>
      <c r="E15" s="28"/>
      <c r="F15" s="28">
        <v>1000</v>
      </c>
      <c r="G15" s="28"/>
    </row>
    <row r="16" ht="14.25" customHeight="1" spans="1:7">
      <c r="A16" s="19">
        <v>15</v>
      </c>
      <c r="B16" s="27">
        <v>46201</v>
      </c>
      <c r="C16" s="21" t="s">
        <v>189</v>
      </c>
      <c r="D16" s="21" t="s">
        <v>190</v>
      </c>
      <c r="E16" s="28"/>
      <c r="F16" s="28">
        <v>75</v>
      </c>
      <c r="G16" s="28"/>
    </row>
    <row r="17" ht="14.25" customHeight="1" spans="1:7">
      <c r="A17" s="19">
        <v>16</v>
      </c>
      <c r="B17" s="27">
        <v>46201</v>
      </c>
      <c r="C17" s="21" t="s">
        <v>177</v>
      </c>
      <c r="D17" s="21" t="s">
        <v>191</v>
      </c>
      <c r="E17" s="28"/>
      <c r="F17" s="28">
        <v>1500</v>
      </c>
      <c r="G17" s="28"/>
    </row>
    <row r="18" ht="14.25" customHeight="1" spans="1:7">
      <c r="A18" s="19">
        <v>17</v>
      </c>
      <c r="B18" s="27">
        <v>46202</v>
      </c>
      <c r="C18" s="21" t="s">
        <v>177</v>
      </c>
      <c r="D18" s="21" t="s">
        <v>192</v>
      </c>
      <c r="E18" s="28"/>
      <c r="F18" s="28">
        <v>1000</v>
      </c>
      <c r="G18" s="28"/>
    </row>
    <row r="19" ht="14.25" customHeight="1" spans="1:7">
      <c r="A19" s="19">
        <v>18</v>
      </c>
      <c r="B19" s="27">
        <v>46202</v>
      </c>
      <c r="C19" s="21" t="s">
        <v>193</v>
      </c>
      <c r="D19" s="21" t="s">
        <v>194</v>
      </c>
      <c r="E19" s="28"/>
      <c r="F19" s="28">
        <v>55</v>
      </c>
      <c r="G19" s="28"/>
    </row>
    <row r="20" ht="14.25" customHeight="1" spans="1:7">
      <c r="A20" s="19">
        <v>19</v>
      </c>
      <c r="B20" s="27">
        <v>46203</v>
      </c>
      <c r="C20" s="21" t="s">
        <v>195</v>
      </c>
      <c r="D20" s="21" t="s">
        <v>196</v>
      </c>
      <c r="E20" s="28"/>
      <c r="F20" s="28">
        <v>450</v>
      </c>
      <c r="G20" s="28"/>
    </row>
    <row r="21" ht="14.25" customHeight="1" spans="1:7">
      <c r="A21" s="19">
        <v>20</v>
      </c>
      <c r="B21" s="27">
        <v>46233</v>
      </c>
      <c r="C21" s="21" t="s">
        <v>197</v>
      </c>
      <c r="D21" s="21" t="s">
        <v>198</v>
      </c>
      <c r="E21" s="28"/>
      <c r="F21" s="28">
        <v>1500</v>
      </c>
      <c r="G21" s="28"/>
    </row>
    <row r="22" ht="14.25" customHeight="1" spans="1:7">
      <c r="A22" s="19">
        <v>21</v>
      </c>
      <c r="B22" s="27">
        <v>46233</v>
      </c>
      <c r="C22" s="21" t="s">
        <v>199</v>
      </c>
      <c r="D22" s="21" t="s">
        <v>200</v>
      </c>
      <c r="E22" s="28"/>
      <c r="F22" s="28">
        <v>450</v>
      </c>
      <c r="G22" s="28"/>
    </row>
    <row r="23" spans="1:7">
      <c r="F23" s="32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CF6"/>
  </sheetPr>
  <dimension ref="A1:G6"/>
  <sheetViews>
    <sheetView workbookViewId="0">
      <selection activeCell="D11" sqref="D11"/>
    </sheetView>
  </sheetViews>
  <sheetFormatPr defaultColWidth="9" defaultRowHeight="14.4" outlineLevelRow="5" outlineLevelCol="6"/>
  <cols>
    <col min="1" max="1" width="6" style="15" customWidth="1"/>
    <col min="2" max="2" width="14" style="15" customWidth="1"/>
    <col min="3" max="3" width="25" customWidth="1"/>
    <col min="4" max="4" width="24" customWidth="1"/>
    <col min="5" max="5" width="32" customWidth="1"/>
    <col min="6" max="6" width="18" style="16" customWidth="1"/>
    <col min="7" max="7" width="16" style="15" customWidth="1"/>
  </cols>
  <sheetData>
    <row r="1" ht="27.95" customHeight="1" spans="1:7">
      <c r="A1" s="17" t="s">
        <v>0</v>
      </c>
      <c r="B1" s="17" t="s">
        <v>158</v>
      </c>
      <c r="C1" s="17" t="s">
        <v>201</v>
      </c>
      <c r="D1" s="17" t="s">
        <v>202</v>
      </c>
      <c r="E1" s="17" t="s">
        <v>203</v>
      </c>
      <c r="F1" s="18" t="s">
        <v>204</v>
      </c>
      <c r="G1" s="17" t="s">
        <v>205</v>
      </c>
    </row>
    <row r="2" spans="1:7">
      <c r="A2" s="19">
        <v>1</v>
      </c>
      <c r="B2" s="20">
        <v>46182</v>
      </c>
      <c r="C2" s="21" t="s">
        <v>206</v>
      </c>
      <c r="D2" s="9" t="s">
        <v>207</v>
      </c>
      <c r="E2" s="9" t="s">
        <v>208</v>
      </c>
      <c r="F2" s="22">
        <v>1000</v>
      </c>
      <c r="G2" s="19" t="s">
        <v>209</v>
      </c>
    </row>
    <row r="3" spans="1:7">
      <c r="A3" s="19">
        <v>2</v>
      </c>
      <c r="B3" s="20">
        <v>46183</v>
      </c>
      <c r="C3" s="21" t="s">
        <v>210</v>
      </c>
      <c r="D3" s="9" t="s">
        <v>207</v>
      </c>
      <c r="E3" s="9" t="s">
        <v>208</v>
      </c>
      <c r="F3" s="22">
        <v>500</v>
      </c>
      <c r="G3" s="19" t="s">
        <v>209</v>
      </c>
    </row>
    <row r="4" spans="1:7">
      <c r="A4" s="19">
        <v>3</v>
      </c>
      <c r="B4" s="23">
        <v>46203</v>
      </c>
      <c r="C4" s="24" t="s">
        <v>206</v>
      </c>
      <c r="D4" s="9" t="s">
        <v>211</v>
      </c>
      <c r="E4" s="9" t="s">
        <v>208</v>
      </c>
      <c r="F4" s="22">
        <v>500</v>
      </c>
      <c r="G4" s="19" t="s">
        <v>209</v>
      </c>
    </row>
    <row r="5" spans="1:7">
      <c r="A5" s="19">
        <v>4</v>
      </c>
      <c r="B5" s="19"/>
      <c r="C5" s="9"/>
      <c r="D5" s="9"/>
      <c r="E5" s="9"/>
      <c r="F5" s="22"/>
      <c r="G5" s="19"/>
    </row>
    <row r="6" spans="1:7">
      <c r="A6" s="19">
        <v>5</v>
      </c>
      <c r="B6" s="19"/>
      <c r="C6" s="9"/>
      <c r="D6" s="9"/>
      <c r="E6" s="9"/>
      <c r="F6" s="22"/>
      <c r="G6" s="19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75569"/>
  </sheetPr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1" width="35" customWidth="1"/>
    <col min="2" max="2" width="32" customWidth="1"/>
    <col min="3" max="3" width="22" style="4" customWidth="1"/>
  </cols>
  <sheetData>
    <row r="1" ht="27.95" customHeight="1" spans="1:3">
      <c r="A1" s="5" t="s">
        <v>212</v>
      </c>
      <c r="B1" s="5" t="s">
        <v>213</v>
      </c>
      <c r="C1" s="6" t="s">
        <v>204</v>
      </c>
    </row>
    <row r="2" s="1" customFormat="1" spans="1:3">
      <c r="A2" s="7" t="s">
        <v>214</v>
      </c>
      <c r="B2" s="7" t="s">
        <v>215</v>
      </c>
      <c r="C2" s="8"/>
    </row>
    <row r="3" spans="1:3">
      <c r="A3" s="9" t="s">
        <v>216</v>
      </c>
      <c r="B3" s="9" t="s">
        <v>217</v>
      </c>
      <c r="C3" s="10"/>
    </row>
    <row r="4" spans="1:3">
      <c r="A4" s="9" t="s">
        <v>218</v>
      </c>
      <c r="B4" s="9" t="s">
        <v>219</v>
      </c>
      <c r="C4" s="10">
        <f>SUM('Markaz Xarajatlari'!E2:E1000)</f>
        <v>4655</v>
      </c>
    </row>
    <row r="5" spans="1:3">
      <c r="A5" s="9" t="s">
        <v>220</v>
      </c>
      <c r="B5" s="9" t="s">
        <v>221</v>
      </c>
      <c r="C5" s="10">
        <f>SUM('Founder Xarajatlari'!F2:F1000)</f>
        <v>2000</v>
      </c>
    </row>
    <row r="6" spans="1:3">
      <c r="A6" s="9" t="s">
        <v>222</v>
      </c>
      <c r="B6" s="9" t="s">
        <v>223</v>
      </c>
      <c r="C6" s="10" t="s">
        <v>224</v>
      </c>
    </row>
    <row r="7" s="2" customFormat="1" spans="1:3">
      <c r="A7" s="11" t="s">
        <v>225</v>
      </c>
      <c r="B7" s="11" t="s">
        <v>226</v>
      </c>
      <c r="C7" s="12">
        <f>C3+C4+C5</f>
        <v>6655</v>
      </c>
    </row>
    <row r="8" s="3" customFormat="1" ht="15.6" spans="1:3">
      <c r="A8" s="13" t="s">
        <v>227</v>
      </c>
      <c r="B8" s="13" t="s">
        <v>228</v>
      </c>
      <c r="C8" s="14">
        <f>C2-C7</f>
        <v>-6655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To'lovlar</vt:lpstr>
      <vt:lpstr>O'qituvchilar Oyligi</vt:lpstr>
      <vt:lpstr>Markaz Xarajatlari</vt:lpstr>
      <vt:lpstr>Founder Xarajatlari</vt:lpstr>
      <vt:lpstr>Moliya Xulosasi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EduFinance CRM</dc:creator>
  <cp:lastModifiedBy>Quvonchbek Bobomurodov</cp:lastModifiedBy>
  <dcterms:created xsi:type="dcterms:W3CDTF">2026-09-15T08:03:00Z</dcterms:created>
  <dcterms:modified xsi:type="dcterms:W3CDTF">2026-09-23T07:11:14Z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8CA182C7223A41D5BDEFFD179B6E6B07_12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